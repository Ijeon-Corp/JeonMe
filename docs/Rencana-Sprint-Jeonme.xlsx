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Backlog" sheetId="2" state="visible" r:id="rId2"/>
    <sheet xmlns:r="http://schemas.openxmlformats.org/officeDocument/2006/relationships" name="Linktree - Menu &amp; Alur" sheetId="3" state="visible" r:id="rId3"/>
    <sheet xmlns:r="http://schemas.openxmlformats.org/officeDocument/2006/relationships" name="Lynkid - Menu &amp; Alur" sheetId="4" state="visible" r:id="rId4"/>
    <sheet xmlns:r="http://schemas.openxmlformats.org/officeDocument/2006/relationships" name="UX Gabungan Jeonme" sheetId="5" state="visible" r:id="rId5"/>
  </sheets>
  <definedNames>
    <definedName name="_xlnm._FilterDatabase" localSheetId="1" hidden="1">'Backlog'!$A$1:$J$64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Georgia"/>
      <b val="1"/>
      <color rgb="00C9A24B"/>
      <sz val="11"/>
    </font>
    <font>
      <name val="Georgia"/>
      <b val="1"/>
      <color rgb="001B4D3E"/>
      <sz val="20"/>
    </font>
    <font>
      <name val="Calibri"/>
      <i val="1"/>
      <color rgb="00444444"/>
      <sz val="11"/>
    </font>
    <font>
      <name val="Calibri"/>
      <color rgb="00777777"/>
      <sz val="9"/>
    </font>
    <font>
      <b val="1"/>
      <color rgb="00FFFFFF"/>
    </font>
    <font>
      <name val="Calibri"/>
      <b val="1"/>
      <color rgb="FFFFFFFF"/>
      <sz val="11"/>
    </font>
    <font>
      <name val="Calibri"/>
      <sz val="11"/>
    </font>
    <font>
      <name val="Calibri"/>
      <b val="1"/>
      <color rgb="FF1B4D3E"/>
      <sz val="12"/>
    </font>
  </fonts>
  <fills count="17">
    <fill>
      <patternFill>
        <fgColor rgb="00F2F5F3"/>
      </patternFill>
    </fill>
    <fill>
      <patternFill patternType="gray125">
        <fgColor rgb="00F2F5F3"/>
      </patternFill>
    </fill>
    <fill>
      <patternFill patternType="solid">
        <fgColor rgb="001B4D3E"/>
      </patternFill>
    </fill>
    <fill>
      <patternFill patternType="solid">
        <fgColor rgb="00F2F5F3"/>
      </patternFill>
    </fill>
    <fill>
      <patternFill patternType="solid">
        <fgColor rgb="00FDECD2"/>
      </patternFill>
    </fill>
    <fill>
      <patternFill patternType="solid">
        <fgColor rgb="00FFFFFF"/>
      </patternFill>
    </fill>
    <fill>
      <patternFill patternType="solid">
        <fgColor rgb="00E7E9E8"/>
      </patternFill>
    </fill>
    <fill>
      <patternFill patternType="solid">
        <fgColor rgb="00FBE1DC"/>
      </patternFill>
    </fill>
    <fill>
      <patternFill patternType="solid">
        <fgColor rgb="00DFF0E6"/>
      </patternFill>
    </fill>
    <fill>
      <patternFill patternType="solid">
        <fgColor rgb="00E2ECF7"/>
      </patternFill>
    </fill>
    <fill>
      <patternFill patternType="solid">
        <fgColor rgb="00FFF3CD"/>
        <bgColor rgb="00FFF3CD"/>
      </patternFill>
    </fill>
    <fill>
      <patternFill patternType="solid">
        <fgColor rgb="00F2F5F3"/>
      </patternFill>
    </fill>
    <fill>
      <patternFill patternType="solid">
        <fgColor rgb="00EAF2FB"/>
      </patternFill>
    </fill>
    <fill>
      <patternFill patternType="solid"/>
    </fill>
    <fill>
      <patternFill patternType="solid">
        <fgColor rgb="FF1B4D3E"/>
      </patternFill>
    </fill>
    <fill>
      <patternFill patternType="solid">
        <fgColor rgb="FFFFFFFF"/>
      </patternFill>
    </fill>
    <fill>
      <patternFill patternType="solid">
        <fgColor rgb="FFF2F5F3"/>
      </patternFill>
    </fill>
  </fills>
  <borders count="3">
    <border>
      <left/>
      <right/>
      <top/>
      <bottom/>
      <diagonal/>
    </border>
    <border>
      <left style="thin">
        <color rgb="00D8DDD9"/>
      </left>
      <right style="thin">
        <color rgb="00D8DDD9"/>
      </right>
      <top style="thin">
        <color rgb="00D8DDD9"/>
      </top>
      <bottom style="thin">
        <color rgb="00D8DDD9"/>
      </bottom>
    </border>
    <border>
      <left style="thin">
        <color rgb="FFD8DDD9"/>
      </left>
      <right style="thin">
        <color rgb="FFD8DDD9"/>
      </right>
      <top style="thin">
        <color rgb="FFD8DDD9"/>
      </top>
      <bottom style="thin">
        <color rgb="FFD8DDD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left" vertical="center" wrapText="1"/>
    </xf>
    <xf numFmtId="0" fontId="0" fillId="3" borderId="0" applyAlignment="1" pivotButton="0" quotePrefix="0" xfId="0">
      <alignment horizontal="left" vertical="center" wrapText="1"/>
    </xf>
    <xf numFmtId="0" fontId="0" fillId="4" borderId="0" applyAlignment="1" pivotButton="0" quotePrefix="0" xfId="0">
      <alignment horizontal="left" vertical="center" wrapText="1"/>
    </xf>
    <xf numFmtId="0" fontId="0" fillId="5" borderId="0" applyAlignment="1" pivotButton="0" quotePrefix="0" xfId="0">
      <alignment horizontal="left" vertical="center" wrapText="1"/>
    </xf>
    <xf numFmtId="0" fontId="0" fillId="6" borderId="0" applyAlignment="1" pivotButton="0" quotePrefix="0" xfId="0">
      <alignment horizontal="left" vertical="center" wrapText="1"/>
    </xf>
    <xf numFmtId="0" fontId="5" fillId="2"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7" borderId="1" applyAlignment="1" pivotButton="0" quotePrefix="0" xfId="0">
      <alignment vertical="center"/>
    </xf>
    <xf numFmtId="0" fontId="0" fillId="8" borderId="1" applyAlignment="1" pivotButton="0" quotePrefix="0" xfId="0">
      <alignment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4" borderId="1" applyAlignment="1" pivotButton="0" quotePrefix="0" xfId="0">
      <alignment vertical="center"/>
    </xf>
    <xf numFmtId="0" fontId="0" fillId="9" borderId="1" applyAlignment="1" pivotButton="0" quotePrefix="0" xfId="0">
      <alignment vertical="center"/>
    </xf>
    <xf numFmtId="0" fontId="0" fillId="6" borderId="1" applyAlignment="1" pivotButton="0" quotePrefix="0" xfId="0">
      <alignment vertical="center"/>
    </xf>
    <xf numFmtId="0" fontId="0" fillId="10" borderId="1" applyAlignment="1" pivotButton="0" quotePrefix="0" xfId="0">
      <alignment vertical="center"/>
    </xf>
    <xf numFmtId="0" fontId="0" fillId="12" borderId="0" applyAlignment="1" pivotButton="0" quotePrefix="0" xfId="0">
      <alignment horizontal="left" vertical="center" wrapText="1"/>
    </xf>
    <xf numFmtId="0" fontId="0" fillId="11" borderId="1" applyAlignment="1" pivotButton="0" quotePrefix="0" xfId="0">
      <alignment vertical="center"/>
    </xf>
    <xf numFmtId="0" fontId="0" fillId="11" borderId="1" applyAlignment="1" pivotButton="0" quotePrefix="0" xfId="0">
      <alignment vertical="center" wrapText="1"/>
    </xf>
    <xf numFmtId="0" fontId="0" fillId="12" borderId="1" applyAlignment="1" pivotButton="0" quotePrefix="0" xfId="0">
      <alignment vertical="center"/>
    </xf>
    <xf numFmtId="0" fontId="0" fillId="13" borderId="1" applyAlignment="1" pivotButton="0" quotePrefix="0" xfId="0">
      <alignment vertical="center"/>
    </xf>
    <xf numFmtId="0" fontId="0" fillId="13" borderId="1" applyAlignment="1" pivotButton="0" quotePrefix="0" xfId="0">
      <alignment vertical="center" wrapText="1"/>
    </xf>
    <xf numFmtId="0" fontId="6" fillId="14" borderId="2" applyAlignment="1" pivotButton="0" quotePrefix="0" xfId="0">
      <alignment horizontal="center" vertical="center" wrapText="1"/>
    </xf>
    <xf numFmtId="0" fontId="7" fillId="15" borderId="2" applyAlignment="1" pivotButton="0" quotePrefix="0" xfId="0">
      <alignment vertical="center" wrapText="1"/>
    </xf>
    <xf numFmtId="0" fontId="7" fillId="16" borderId="2" applyAlignment="1" pivotButton="0" quotePrefix="0" xfId="0">
      <alignment vertical="center" wrapText="1"/>
    </xf>
    <xf numFmtId="0" fontId="8" fillId="0" borderId="0" pivotButton="0" quotePrefix="0" xfId="0"/>
  </cellXfs>
  <cellStyles count="1">
    <cellStyle name="Normal" xfId="0" builtinId="0" hidden="0"/>
  </cellStyles>
  <dxfs count="4">
    <dxf>
      <fill>
        <patternFill patternType="solid">
          <fgColor rgb="00DFF0E6"/>
        </patternFill>
      </fill>
    </dxf>
    <dxf>
      <fill>
        <patternFill patternType="solid">
          <fgColor rgb="00FDECD2"/>
        </patternFill>
      </fill>
    </dxf>
    <dxf>
      <fill>
        <patternFill patternType="solid">
          <fgColor rgb="00E7E9E8"/>
        </patternFill>
      </fill>
    </dxf>
    <dxf>
      <fill>
        <patternFill patternType="solid">
          <fgColor rgb="00FBE1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7"/>
  <sheetViews>
    <sheetView showGridLines="0" workbookViewId="0">
      <selection activeCell="A1" sqref="A1"/>
    </sheetView>
  </sheetViews>
  <sheetFormatPr baseColWidth="8" defaultRowHeight="15"/>
  <cols>
    <col width="2" customWidth="1" min="1" max="1"/>
    <col width="12" customWidth="1" min="2" max="2"/>
    <col width="26" customWidth="1" min="3" max="3"/>
    <col width="12" customWidth="1" min="4" max="4"/>
    <col width="46" customWidth="1" min="5" max="5"/>
    <col width="12" customWidth="1" min="6" max="6"/>
    <col width="16" customWidth="1" min="7" max="7"/>
  </cols>
  <sheetData>
    <row r="2">
      <c r="B2" s="1" t="inlineStr">
        <is>
          <t>JEONME</t>
        </is>
      </c>
    </row>
    <row r="3" ht="26" customHeight="1">
      <c r="B3" s="2" t="inlineStr">
        <is>
          <t>Rencana Sprint &amp; Backlog</t>
        </is>
      </c>
    </row>
    <row r="4">
      <c r="B4" s="3" t="inlineStr">
        <is>
          <t>Fase 1 (MVP) -- 1 sprint penutupan fondasi + 5 sprint dua-mingguan</t>
        </is>
      </c>
    </row>
    <row r="5">
      <c r="B5" s="4" t="inlineStr">
        <is>
          <t>Diperbarui: 3 Juli 2026 -- lihat sheet 'Backlog' untuk daftar task lengkap dan bisa diedit (Status, PIC).</t>
        </is>
      </c>
      <c r="C5" t="inlineStr">
        <is>
          <t>Diperbarui: 17 Juli 2026 -- rekonsiliasi disbursement admin (No.53) selesai, panel admin didesain ulang.</t>
        </is>
      </c>
    </row>
    <row r="7">
      <c r="B7" s="5" t="inlineStr">
        <is>
          <t>Sprint</t>
        </is>
      </c>
      <c r="C7" s="5" t="inlineStr">
        <is>
          <t>Nama</t>
        </is>
      </c>
      <c r="D7" s="5" t="inlineStr">
        <is>
          <t>Durasi</t>
        </is>
      </c>
      <c r="E7" s="5" t="inlineStr">
        <is>
          <t>Tujuan</t>
        </is>
      </c>
      <c r="F7" s="5" t="inlineStr">
        <is>
          <t>Jumlah Task</t>
        </is>
      </c>
      <c r="G7" s="5" t="inlineStr">
        <is>
          <t>Status</t>
        </is>
      </c>
    </row>
    <row r="8">
      <c r="B8" s="6" t="inlineStr">
        <is>
          <t>Sprint 0</t>
        </is>
      </c>
      <c r="C8" s="6" t="inlineStr">
        <is>
          <t>Penutupan Fondasi</t>
        </is>
      </c>
      <c r="D8" s="6" t="inlineStr">
        <is>
          <t>Sisa Fase 0</t>
        </is>
      </c>
      <c r="E8" s="6" t="inlineStr">
        <is>
          <t>Pipeline CI/CD aman dipakai, backend teruji, HTTPS siap, VPS live</t>
        </is>
      </c>
      <c r="F8" s="6">
        <f>COUNTIF(Backlog!B:B,"Sprint 0")</f>
        <v/>
      </c>
      <c r="G8" s="7" t="inlineStr">
        <is>
          <t>Selesai</t>
        </is>
      </c>
    </row>
    <row r="9">
      <c r="B9" s="8" t="inlineStr">
        <is>
          <t>Sprint 1</t>
        </is>
      </c>
      <c r="C9" s="8" t="inlineStr">
        <is>
          <t>Onboarding &amp; Halaman Publik</t>
        </is>
      </c>
      <c r="D9" s="8" t="inlineStr">
        <is>
          <t>Minggu 1-2</t>
        </is>
      </c>
      <c r="E9" s="8" t="inlineStr">
        <is>
          <t>Kreator daftar, kustomisasi, terbitkan halaman publik</t>
        </is>
      </c>
      <c r="F9" s="8">
        <f>COUNTIF(Backlog!B:B,"Sprint 1")</f>
        <v/>
      </c>
      <c r="G9" s="9" t="inlineStr">
        <is>
          <t>Sebagian Selesai (OAuth Google diblokir -- butuh GOOGLE_CLIENT_ID/SECRET)</t>
        </is>
      </c>
    </row>
    <row r="10">
      <c r="B10" s="6" t="inlineStr">
        <is>
          <t>Sprint 2</t>
        </is>
      </c>
      <c r="C10" s="6" t="inlineStr">
        <is>
          <t>Produk Digital &amp; Upload</t>
        </is>
      </c>
      <c r="D10" s="6" t="inlineStr">
        <is>
          <t>Minggu 3-4</t>
        </is>
      </c>
      <c r="E10" s="6" t="inlineStr">
        <is>
          <t>Kreator unggah &amp; jual file digital</t>
        </is>
      </c>
      <c r="F10" s="6">
        <f>COUNTIF(Backlog!B:B,"Sprint 2")</f>
        <v/>
      </c>
      <c r="G10" s="9" t="inlineStr">
        <is>
          <t>Selesai</t>
        </is>
      </c>
    </row>
    <row r="11">
      <c r="B11" s="8" t="inlineStr">
        <is>
          <t>Sprint 3</t>
        </is>
      </c>
      <c r="C11" s="8" t="inlineStr">
        <is>
          <t>Checkout &amp; Pembayaran</t>
        </is>
      </c>
      <c r="D11" s="8" t="inlineStr">
        <is>
          <t>Minggu 5-6</t>
        </is>
      </c>
      <c r="E11" s="8" t="inlineStr">
        <is>
          <t>Pembeli checkout &amp; bayar sungguhan lewat Xendit</t>
        </is>
      </c>
      <c r="F11" s="8">
        <f>COUNTIF(Backlog!B:B,"Sprint 3")</f>
        <v/>
      </c>
      <c r="G11" s="9" t="inlineStr">
        <is>
          <t>Sebagian Selesai (Midtrans SANDBOX aktif &amp; terverifikasi di staging+production; notifikasi email selesai &amp; terverifikasi dengan SMTP sungguhan; WhatsApp &amp; akun Midtrans production sungguhan masih belum ada)</t>
        </is>
      </c>
    </row>
    <row r="12">
      <c r="B12" s="6" t="inlineStr">
        <is>
          <t>Sprint 4</t>
        </is>
      </c>
      <c r="C12" s="6" t="inlineStr">
        <is>
          <t>Ledger, Saldo &amp; Penarikan</t>
        </is>
      </c>
      <c r="D12" s="6" t="inlineStr">
        <is>
          <t>Minggu 7-8</t>
        </is>
      </c>
      <c r="E12" s="6" t="inlineStr">
        <is>
          <t>Uang kreator dihitung, dipantau, ditarik</t>
        </is>
      </c>
      <c r="F12" s="6">
        <f>COUNTIF(Backlog!B:B,"Sprint 4")</f>
        <v/>
      </c>
      <c r="G12" s="9" t="inlineStr">
        <is>
          <t>Sebagian Selesai (rekonsiliasi admin selesai -- No.53; disbursement OTOMATIS via Midtrans API sungguhan masih belum ada, diproses manual oleh admin untuk sekarang)</t>
        </is>
      </c>
    </row>
    <row r="13">
      <c r="B13" s="8" t="inlineStr">
        <is>
          <t>Sprint 5</t>
        </is>
      </c>
      <c r="C13" s="8" t="inlineStr">
        <is>
          <t>Analitik &amp; Pengerasan Go-Live</t>
        </is>
      </c>
      <c r="D13" s="8" t="inlineStr">
        <is>
          <t>Minggu 9-10</t>
        </is>
      </c>
      <c r="E13" s="8" t="inlineStr">
        <is>
          <t>Siap rilis production pertama</t>
        </is>
      </c>
      <c r="F13" s="8">
        <f>COUNTIF(Backlog!B:B,"Sprint 5")</f>
        <v/>
      </c>
      <c r="G13" s="9" t="inlineStr">
        <is>
          <t>Sebagian Selesai (smoke test uang sungguhan diblokir Midtrans, checklist go-live perlu review manual akhir)</t>
        </is>
      </c>
    </row>
    <row r="14">
      <c r="B14" s="8" t="inlineStr">
        <is>
          <t>Sprint 6</t>
        </is>
      </c>
      <c r="C14" s="8" t="inlineStr">
        <is>
          <t>Panel Admin</t>
        </is>
      </c>
      <c r="D14" s="8" t="inlineStr">
        <is>
          <t>Minggu 11-12</t>
        </is>
      </c>
      <c r="E14" s="8" t="inlineStr">
        <is>
          <t>Admin bisa kelola user, moderasi konten, dan pantau transaksi</t>
        </is>
      </c>
      <c r="F14" s="8">
        <f>COUNTIF(Backlog!B:B,"Sprint 6")</f>
        <v/>
      </c>
      <c r="G14" s="9" t="inlineStr">
        <is>
          <t>Selesai</t>
        </is>
      </c>
    </row>
    <row r="16">
      <c r="B16" s="3" t="inlineStr">
        <is>
          <t>Fase 2 (Ekspansi Fitur Kompetitif) -- referensi Linktree &amp; Lynk.id, 6 sprint dua-mingguan lanjutan</t>
        </is>
      </c>
    </row>
    <row r="17">
      <c r="B17" s="4" t="inlineStr">
        <is>
          <t>Diperbarui: 23 Juli 2026 -- hasil analisis kompetitor Linktree + Lynk.id (tur langsung dashboard live kedua akun sungguhan) dicatat sebagai backlog No.67-99 di sheet 'Backlog'. Detail menu &amp; alur kerja per platform ada di sheet 'Linktree - Menu &amp; Alur' dan 'Lynkid - Menu &amp; Alur'. Rekomendasi IA gabungan (lebih sederhana dari keduanya) ada di sheet 'UX Gabungan Jeonme'.</t>
        </is>
      </c>
    </row>
    <row r="19">
      <c r="B19" s="5" t="inlineStr">
        <is>
          <t>Sprint</t>
        </is>
      </c>
      <c r="C19" s="5" t="inlineStr">
        <is>
          <t>Nama</t>
        </is>
      </c>
      <c r="D19" s="5" t="inlineStr">
        <is>
          <t>Durasi</t>
        </is>
      </c>
      <c r="E19" s="5" t="inlineStr">
        <is>
          <t>Tujuan</t>
        </is>
      </c>
      <c r="F19" s="5" t="inlineStr">
        <is>
          <t>Jumlah Task</t>
        </is>
      </c>
      <c r="G19" s="5" t="inlineStr">
        <is>
          <t>Status</t>
        </is>
      </c>
    </row>
    <row r="20">
      <c r="B20" s="6" t="inlineStr">
        <is>
          <t>Sprint 7</t>
        </is>
      </c>
      <c r="C20" s="6" t="inlineStr">
        <is>
          <t>Ekspansi Monetisasi Produk</t>
        </is>
      </c>
      <c r="D20" s="6" t="inlineStr">
        <is>
          <t>Minggu 13-14</t>
        </is>
      </c>
      <c r="E20" s="6" t="inlineStr">
        <is>
          <t>Voucher/diskon, flash sale, bayar-seikhlasnya, bundel produk, blok donasi, program afiliasi</t>
        </is>
      </c>
      <c r="F20" s="6">
        <f>COUNTIF(Backlog!B:B,"Sprint 7")</f>
        <v/>
      </c>
      <c r="G20" s="21" t="inlineStr">
        <is>
          <t>Selesai (No.67-72 semua selesai)</t>
        </is>
      </c>
    </row>
    <row r="21">
      <c r="B21" s="8" t="inlineStr">
        <is>
          <t>Sprint 8</t>
        </is>
      </c>
      <c r="C21" s="8" t="inlineStr">
        <is>
          <t>Retensi Audiens &amp; Pemasaran</t>
        </is>
      </c>
      <c r="D21" s="8" t="inlineStr">
        <is>
          <t>Minggu 15-16</t>
        </is>
      </c>
      <c r="E21" s="8" t="inlineStr">
        <is>
          <t>Kumpulkan &amp; jangkau audiens lewat form lead + WhatsApp/email</t>
        </is>
      </c>
      <c r="F21" s="8">
        <f>COUNTIF(Backlog!B:B,"Sprint 8")</f>
        <v/>
      </c>
      <c r="G21" s="21" t="inlineStr">
        <is>
          <t>Sebagian Selesai (No.73, No.76 selesai; No.74-75 belum -- menunggu kredensial WhatsApp Business API resmi)</t>
        </is>
      </c>
    </row>
    <row r="22">
      <c r="B22" s="6" t="inlineStr">
        <is>
          <t>Sprint 9</t>
        </is>
      </c>
      <c r="C22" s="6" t="inlineStr">
        <is>
          <t>Blok Konten &amp; Desain Halaman</t>
        </is>
      </c>
      <c r="D22" s="6" t="inlineStr">
        <is>
          <t>Minggu 17-18</t>
        </is>
      </c>
      <c r="E22" s="6" t="inlineStr">
        <is>
          <t>Blok tautan lebih kaya, domain kustom, kustomisasi desain lanjutan</t>
        </is>
      </c>
      <c r="F22" s="6">
        <f>COUNTIF(Backlog!B:B,"Sprint 9")</f>
        <v/>
      </c>
      <c r="G22" s="21" t="inlineStr">
        <is>
          <t>Selesai (No.81 domain kustom: lingkup aplikasi selesai &amp; terverifikasi, wiring Apache/SSL produksi ditunda sampai ada domain uji sungguhan)</t>
        </is>
      </c>
    </row>
    <row r="23">
      <c r="B23" s="8" t="inlineStr">
        <is>
          <t>Sprint 10</t>
        </is>
      </c>
      <c r="C23" s="8" t="inlineStr">
        <is>
          <t>Kepercayaan &amp; Analitik Lanjutan</t>
        </is>
      </c>
      <c r="D23" s="8" t="inlineStr">
        <is>
          <t>Minggu 19-20</t>
        </is>
      </c>
      <c r="E23" s="8" t="inlineStr">
        <is>
          <t>KYC payout, watermark file, analitik mendalam, tim/multi-admin</t>
        </is>
      </c>
      <c r="F23" s="8">
        <f>COUNTIF(Backlog!B:B,"Sprint 10")</f>
        <v/>
      </c>
      <c r="G23" s="21" t="inlineStr">
        <is>
          <t>Selesai (No.84-89 semua selesai; No.86 breakdown lokasi diputuskan tidak dikerjakan -- keputusan final pengguna 25 Juli 2026)</t>
        </is>
      </c>
    </row>
    <row r="24">
      <c r="B24" s="6" t="inlineStr">
        <is>
          <t>Sprint 11</t>
        </is>
      </c>
      <c r="C24" s="6" t="inlineStr">
        <is>
          <t>Event, Kelas &amp; Booking</t>
        </is>
      </c>
      <c r="D24" s="6" t="inlineStr">
        <is>
          <t>Minggu 21-22</t>
        </is>
      </c>
      <c r="E24" s="6" t="inlineStr">
        <is>
          <t>Perluasan tipe produk non-file (tiket event, kursus, booking konsultasi)</t>
        </is>
      </c>
      <c r="F24" s="6">
        <f>COUNTIF(Backlog!B:B,"Sprint 11")</f>
        <v/>
      </c>
      <c r="G24" s="21" t="inlineStr">
        <is>
          <t>Belum Mulai</t>
        </is>
      </c>
    </row>
    <row r="25">
      <c r="B25" s="8" t="inlineStr">
        <is>
          <t>Sprint 12</t>
        </is>
      </c>
      <c r="C25" s="8" t="inlineStr">
        <is>
          <t>Perluasan Toko Fisik (opsional)</t>
        </is>
      </c>
      <c r="D25" s="8" t="inlineStr">
        <is>
          <t>Minggu 23-24</t>
        </is>
      </c>
      <c r="E25" s="8" t="inlineStr">
        <is>
          <t>Validasi permintaan pasar dulu -- perluasan besar di luar fokus produk digital</t>
        </is>
      </c>
      <c r="F25" s="8">
        <f>COUNTIF(Backlog!B:B,"Sprint 12")</f>
        <v/>
      </c>
      <c r="G25" s="21" t="inlineStr">
        <is>
          <t>Belum Mulai</t>
        </is>
      </c>
    </row>
    <row r="26">
      <c r="B26" s="8" t="inlineStr">
        <is>
          <t>Sprint 13</t>
        </is>
      </c>
      <c r="C26" s="8" t="inlineStr">
        <is>
          <t>Temuan Tambahan (Eksplorasi Langsung)</t>
        </is>
      </c>
      <c r="D26" s="8" t="inlineStr">
        <is>
          <t>Minggu 25-26</t>
        </is>
      </c>
      <c r="E26" s="8" t="inlineStr">
        <is>
          <t>Fitur baru yang ditemukan lewat tur langsung akun sungguhan (login nyata), bukan cuma dokumentasi publik: poin loyalitas, kartu kontak digital, asisten analitik AI</t>
        </is>
      </c>
      <c r="F26" s="8">
        <f>COUNTIF(Backlog!B:B,"Sprint 13")</f>
        <v/>
      </c>
      <c r="G26" s="21" t="inlineStr">
        <is>
          <t>Belum Mulai</t>
        </is>
      </c>
    </row>
    <row r="27">
      <c r="B27" s="8" t="inlineStr">
        <is>
          <t>Sprint 14</t>
        </is>
      </c>
      <c r="C27" s="8" t="inlineStr">
        <is>
          <t>Ide Masa Depan (Belum Prioritas)</t>
        </is>
      </c>
      <c r="D27" s="8" t="inlineStr">
        <is>
          <t>Minggu 27-28</t>
        </is>
      </c>
      <c r="E27" s="8" t="inlineStr">
        <is>
          <t>Fitur yang ditemukan lewat riset tapi sengaja ditunda (scope besar/tangensial): multi-halaman bio, builder landing page AI</t>
        </is>
      </c>
      <c r="F27" s="8">
        <f>COUNTIF(Backlog!B:B,"Sprint 14")</f>
        <v/>
      </c>
      <c r="G27" s="21" t="inlineStr">
        <is>
          <t>Belum Mulai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
  <sheetViews>
    <sheetView showGridLines="0" workbookViewId="0">
      <pane ySplit="1" topLeftCell="A2" activePane="bottomLeft" state="frozen"/>
      <selection pane="bottomLeft" activeCell="A1" sqref="A1"/>
    </sheetView>
  </sheetViews>
  <sheetFormatPr baseColWidth="8" defaultRowHeight="15"/>
  <cols>
    <col width="5" customWidth="1" min="1" max="1"/>
    <col width="10" customWidth="1" min="2" max="2"/>
    <col width="10" customWidth="1" min="3" max="3"/>
    <col width="52" customWidth="1" min="4" max="4"/>
    <col width="16" customWidth="1" min="5" max="5"/>
    <col width="10" customWidth="1" min="6" max="6"/>
    <col width="14" customWidth="1" min="7" max="7"/>
    <col width="14" customWidth="1" min="8" max="8"/>
    <col width="10" customWidth="1" min="9" max="9"/>
    <col width="34" customWidth="1" min="10" max="10"/>
  </cols>
  <sheetData>
    <row r="1">
      <c r="A1" s="10" t="inlineStr">
        <is>
          <t>No</t>
        </is>
      </c>
      <c r="B1" s="10" t="inlineStr">
        <is>
          <t>Sprint</t>
        </is>
      </c>
      <c r="C1" s="10" t="inlineStr">
        <is>
          <t>Area</t>
        </is>
      </c>
      <c r="D1" s="10" t="inlineStr">
        <is>
          <t>Task</t>
        </is>
      </c>
      <c r="E1" s="10" t="inlineStr">
        <is>
          <t>Ref (REQ-F / Temuan)</t>
        </is>
      </c>
      <c r="F1" s="10" t="inlineStr">
        <is>
          <t>Prioritas</t>
        </is>
      </c>
      <c r="G1" s="10" t="inlineStr">
        <is>
          <t>Status</t>
        </is>
      </c>
      <c r="H1" s="10" t="inlineStr">
        <is>
          <t>PIC</t>
        </is>
      </c>
      <c r="I1" s="10" t="inlineStr">
        <is>
          <t>Estimasi (hari)</t>
        </is>
      </c>
      <c r="J1" s="10" t="inlineStr">
        <is>
          <t>Catatan</t>
        </is>
      </c>
    </row>
    <row r="2">
      <c r="A2" s="11" t="n">
        <v>1</v>
      </c>
      <c r="B2" s="11" t="inlineStr">
        <is>
          <t>Sprint 0</t>
        </is>
      </c>
      <c r="C2" s="11" t="inlineStr">
        <is>
          <t>CI/CD</t>
        </is>
      </c>
      <c r="D2" s="12" t="inlineStr">
        <is>
          <t>Perbaiki migrasi production (ganti placeholder echo dengan subcommand migrate sungguhan)</t>
        </is>
      </c>
      <c r="E2" s="11" t="inlineStr">
        <is>
          <t>C1</t>
        </is>
      </c>
      <c r="F2" s="13" t="inlineStr">
        <is>
          <t>Must</t>
        </is>
      </c>
      <c r="G2" s="14" t="inlineStr">
        <is>
          <t>Selesai</t>
        </is>
      </c>
      <c r="H2" s="11" t="inlineStr"/>
      <c r="I2" s="11" t="n">
        <v>1</v>
      </c>
      <c r="J2" s="12" t="inlineStr">
        <is>
          <t>internal/migrate/migrate.go + deploy-production.yml</t>
        </is>
      </c>
    </row>
    <row r="3">
      <c r="A3" s="15" t="n">
        <v>2</v>
      </c>
      <c r="B3" s="15" t="inlineStr">
        <is>
          <t>Sprint 0</t>
        </is>
      </c>
      <c r="C3" s="15" t="inlineStr">
        <is>
          <t>CI/CD</t>
        </is>
      </c>
      <c r="D3" s="16" t="inlineStr">
        <is>
          <t>Tambah docker login ghcr.io di VPS sebelum pull image</t>
        </is>
      </c>
      <c r="E3" s="15" t="inlineStr">
        <is>
          <t>C2</t>
        </is>
      </c>
      <c r="F3" s="13" t="inlineStr">
        <is>
          <t>Must</t>
        </is>
      </c>
      <c r="G3" s="14" t="inlineStr">
        <is>
          <t>Selesai</t>
        </is>
      </c>
      <c r="H3" s="15" t="inlineStr"/>
      <c r="I3" s="15" t="n">
        <v>0.5</v>
      </c>
      <c r="J3" s="16" t="inlineStr">
        <is>
          <t>deploy-staging.yml &amp; deploy-production.yml</t>
        </is>
      </c>
    </row>
    <row r="4">
      <c r="A4" s="11" t="n">
        <v>3</v>
      </c>
      <c r="B4" s="11" t="inlineStr">
        <is>
          <t>Sprint 0</t>
        </is>
      </c>
      <c r="C4" s="11" t="inlineStr">
        <is>
          <t>CI/CD</t>
        </is>
      </c>
      <c r="D4" s="12" t="inlineStr">
        <is>
          <t>Terapkan migrasi ke DB test sebelum go test di CI + tulis test pertama</t>
        </is>
      </c>
      <c r="E4" s="11" t="inlineStr">
        <is>
          <t>C3</t>
        </is>
      </c>
      <c r="F4" s="13" t="inlineStr">
        <is>
          <t>Must</t>
        </is>
      </c>
      <c r="G4" s="14" t="inlineStr">
        <is>
          <t>Selesai</t>
        </is>
      </c>
      <c r="H4" s="11" t="inlineStr"/>
      <c r="I4" s="11" t="n">
        <v>1</v>
      </c>
      <c r="J4" s="12" t="inlineStr">
        <is>
          <t>health_test.go</t>
        </is>
      </c>
    </row>
    <row r="5">
      <c r="A5" s="15" t="n">
        <v>4</v>
      </c>
      <c r="B5" s="15" t="inlineStr">
        <is>
          <t>Sprint 0</t>
        </is>
      </c>
      <c r="C5" s="15" t="inlineStr">
        <is>
          <t>CI/CD</t>
        </is>
      </c>
      <c r="D5" s="16" t="inlineStr">
        <is>
          <t>Tambah tag :latest sebagai fallback registry dari branch main</t>
        </is>
      </c>
      <c r="E5" s="15" t="inlineStr">
        <is>
          <t>H1</t>
        </is>
      </c>
      <c r="F5" s="17" t="inlineStr">
        <is>
          <t>Should</t>
        </is>
      </c>
      <c r="G5" s="14" t="inlineStr">
        <is>
          <t>Selesai</t>
        </is>
      </c>
      <c r="H5" s="15" t="inlineStr"/>
      <c r="I5" s="15" t="n">
        <v>0.5</v>
      </c>
      <c r="J5" s="16" t="inlineStr">
        <is>
          <t>ci.yml build-images</t>
        </is>
      </c>
    </row>
    <row r="6">
      <c r="A6" s="11" t="n">
        <v>5</v>
      </c>
      <c r="B6" s="11" t="inlineStr">
        <is>
          <t>Sprint 0</t>
        </is>
      </c>
      <c r="C6" s="11" t="inlineStr">
        <is>
          <t>CI/CD</t>
        </is>
      </c>
      <c r="D6" s="12" t="inlineStr">
        <is>
          <t>Ganti placeholder OWNER dengan variabel GHCR_REPO</t>
        </is>
      </c>
      <c r="E6" s="11" t="inlineStr">
        <is>
          <t>H2</t>
        </is>
      </c>
      <c r="F6" s="17" t="inlineStr">
        <is>
          <t>Should</t>
        </is>
      </c>
      <c r="G6" s="14" t="inlineStr">
        <is>
          <t>Selesai</t>
        </is>
      </c>
      <c r="H6" s="11" t="inlineStr"/>
      <c r="I6" s="11" t="n">
        <v>0.5</v>
      </c>
      <c r="J6" s="12" t="inlineStr">
        <is>
          <t>docker-compose.staging.yml &amp; .prod.yml</t>
        </is>
      </c>
    </row>
    <row r="7">
      <c r="A7" s="15" t="n">
        <v>6</v>
      </c>
      <c r="B7" s="15" t="inlineStr">
        <is>
          <t>Sprint 0</t>
        </is>
      </c>
      <c r="C7" s="15" t="inlineStr">
        <is>
          <t>Infra</t>
        </is>
      </c>
      <c r="D7" s="16" t="inlineStr">
        <is>
          <t>Lengkapi server block 443 + TLS di Nginx production</t>
        </is>
      </c>
      <c r="E7" s="15" t="inlineStr">
        <is>
          <t>H3</t>
        </is>
      </c>
      <c r="F7" s="13" t="inlineStr">
        <is>
          <t>Must</t>
        </is>
      </c>
      <c r="G7" s="14" t="inlineStr">
        <is>
          <t>Selesai</t>
        </is>
      </c>
      <c r="H7" s="15" t="inlineStr"/>
      <c r="I7" s="15" t="n">
        <v>1</v>
      </c>
      <c r="J7" s="16" t="inlineStr">
        <is>
          <t>docker/nginx/conf.d/production/jeonme.conf</t>
        </is>
      </c>
    </row>
    <row r="8">
      <c r="A8" s="11" t="n">
        <v>7</v>
      </c>
      <c r="B8" s="11" t="inlineStr">
        <is>
          <t>Sprint 0</t>
        </is>
      </c>
      <c r="C8" s="11" t="inlineStr">
        <is>
          <t>CI/CD</t>
        </is>
      </c>
      <c r="D8" s="12" t="inlineStr">
        <is>
          <t>Ganti npm install dengan npm ci (reproducible build)</t>
        </is>
      </c>
      <c r="E8" s="11" t="inlineStr">
        <is>
          <t>M1</t>
        </is>
      </c>
      <c r="F8" s="17" t="inlineStr">
        <is>
          <t>Should</t>
        </is>
      </c>
      <c r="G8" s="14" t="inlineStr">
        <is>
          <t>Selesai</t>
        </is>
      </c>
      <c r="H8" s="11" t="inlineStr"/>
      <c r="I8" s="11" t="n">
        <v>0.5</v>
      </c>
      <c r="J8" s="12" t="inlineStr">
        <is>
          <t>ci.yml &amp; Dockerfile web</t>
        </is>
      </c>
    </row>
    <row r="9">
      <c r="A9" s="15" t="n">
        <v>8</v>
      </c>
      <c r="B9" s="15" t="inlineStr">
        <is>
          <t>Sprint 0</t>
        </is>
      </c>
      <c r="C9" s="15" t="inlineStr">
        <is>
          <t>CI/CD</t>
        </is>
      </c>
      <c r="D9" s="16" t="inlineStr">
        <is>
          <t>Health check deploy pakai retry berjeda, bukan sleep tunggal</t>
        </is>
      </c>
      <c r="E9" s="15" t="inlineStr">
        <is>
          <t>M2</t>
        </is>
      </c>
      <c r="F9" s="17" t="inlineStr">
        <is>
          <t>Should</t>
        </is>
      </c>
      <c r="G9" s="14" t="inlineStr">
        <is>
          <t>Selesai</t>
        </is>
      </c>
      <c r="H9" s="15" t="inlineStr"/>
      <c r="I9" s="15" t="n">
        <v>0.5</v>
      </c>
      <c r="J9" s="16" t="inlineStr">
        <is>
          <t>deploy-*.yml</t>
        </is>
      </c>
    </row>
    <row r="10">
      <c r="A10" s="11" t="n">
        <v>9</v>
      </c>
      <c r="B10" s="11" t="inlineStr">
        <is>
          <t>Sprint 0</t>
        </is>
      </c>
      <c r="C10" s="11" t="inlineStr">
        <is>
          <t>CI/CD</t>
        </is>
      </c>
      <c r="D10" s="12" t="inlineStr">
        <is>
          <t>Tambah govulncheck &amp; npm audit non-blocking ke pipeline</t>
        </is>
      </c>
      <c r="E10" s="11" t="inlineStr">
        <is>
          <t>M3</t>
        </is>
      </c>
      <c r="F10" s="18" t="inlineStr">
        <is>
          <t>Could</t>
        </is>
      </c>
      <c r="G10" s="14" t="inlineStr">
        <is>
          <t>Selesai</t>
        </is>
      </c>
      <c r="H10" s="11" t="inlineStr"/>
      <c r="I10" s="11" t="n">
        <v>0.5</v>
      </c>
      <c r="J10" s="12" t="inlineStr">
        <is>
          <t>ci.yml</t>
        </is>
      </c>
    </row>
    <row r="11">
      <c r="A11" s="15" t="n">
        <v>10</v>
      </c>
      <c r="B11" s="15" t="inlineStr">
        <is>
          <t>Sprint 0</t>
        </is>
      </c>
      <c r="C11" s="15" t="inlineStr">
        <is>
          <t>BE</t>
        </is>
      </c>
      <c r="D11" s="16" t="inlineStr">
        <is>
          <t>Generate &amp; commit go.sum, verifikasi go build ./... hijau</t>
        </is>
      </c>
      <c r="E11" s="15" t="inlineStr">
        <is>
          <t>M4</t>
        </is>
      </c>
      <c r="F11" s="13" t="inlineStr">
        <is>
          <t>Must</t>
        </is>
      </c>
      <c r="G11" s="14" t="inlineStr">
        <is>
          <t>Selesai</t>
        </is>
      </c>
      <c r="H11" s="15" t="inlineStr"/>
      <c r="I11" s="15" t="n">
        <v>0.5</v>
      </c>
      <c r="J11" s="16" t="inlineStr">
        <is>
          <t>apps/api/go.sum</t>
        </is>
      </c>
    </row>
    <row r="12">
      <c r="A12" s="11" t="n">
        <v>11</v>
      </c>
      <c r="B12" s="11" t="inlineStr">
        <is>
          <t>Sprint 0</t>
        </is>
      </c>
      <c r="C12" s="11" t="inlineStr">
        <is>
          <t>Dokumentasi</t>
        </is>
      </c>
      <c r="D12" s="12" t="inlineStr">
        <is>
          <t>Sinkronkan CICD-GUIDE.md dengan implementasi Go/Gin aktual</t>
        </is>
      </c>
      <c r="E12" s="11" t="inlineStr">
        <is>
          <t>L1</t>
        </is>
      </c>
      <c r="F12" s="18" t="inlineStr">
        <is>
          <t>Could</t>
        </is>
      </c>
      <c r="G12" s="14" t="inlineStr">
        <is>
          <t>Selesai</t>
        </is>
      </c>
      <c r="H12" s="11" t="inlineStr"/>
      <c r="I12" s="11" t="n">
        <v>1</v>
      </c>
      <c r="J12" s="12" t="inlineStr">
        <is>
          <t>CICD-GUIDE.md</t>
        </is>
      </c>
    </row>
    <row r="13">
      <c r="A13" s="15" t="n">
        <v>12</v>
      </c>
      <c r="B13" s="15" t="inlineStr">
        <is>
          <t>Sprint 0</t>
        </is>
      </c>
      <c r="C13" s="15" t="inlineStr">
        <is>
          <t>CI/CD</t>
        </is>
      </c>
      <c r="D13" s="16" t="inlineStr">
        <is>
          <t>Buat skrip rollback manual (mitigasi sementara sebelum workflow_dispatch)</t>
        </is>
      </c>
      <c r="E13" s="15" t="inlineStr">
        <is>
          <t>L2</t>
        </is>
      </c>
      <c r="F13" s="17" t="inlineStr">
        <is>
          <t>Should</t>
        </is>
      </c>
      <c r="G13" s="14" t="inlineStr">
        <is>
          <t>Selesai</t>
        </is>
      </c>
      <c r="H13" s="15" t="inlineStr"/>
      <c r="I13" s="15" t="n">
        <v>0.5</v>
      </c>
      <c r="J13" s="16" t="inlineStr">
        <is>
          <t>scripts/rollback.sh</t>
        </is>
      </c>
    </row>
    <row r="14">
      <c r="A14" s="11" t="n">
        <v>13</v>
      </c>
      <c r="B14" s="11" t="inlineStr">
        <is>
          <t>Sprint 0</t>
        </is>
      </c>
      <c r="C14" s="11" t="inlineStr">
        <is>
          <t>BE</t>
        </is>
      </c>
      <c r="D14" s="12" t="inlineStr">
        <is>
          <t>Tambah golangci-lint ke pipeline (linting Go masih minim, hanya go vet)</t>
        </is>
      </c>
      <c r="E14" s="11" t="inlineStr">
        <is>
          <t>L3</t>
        </is>
      </c>
      <c r="F14" s="18" t="inlineStr">
        <is>
          <t>Could</t>
        </is>
      </c>
      <c r="G14" s="14" t="inlineStr">
        <is>
          <t>Selesai</t>
        </is>
      </c>
      <c r="H14" s="11" t="inlineStr"/>
      <c r="I14" s="11" t="n">
        <v>0.5</v>
      </c>
      <c r="J14" s="12" t="inlineStr">
        <is>
          <t>Aktif di ci.yml sebagai blocking gate, install-mode: goinstall</t>
        </is>
      </c>
    </row>
    <row r="15">
      <c r="A15" s="15" t="n">
        <v>14</v>
      </c>
      <c r="B15" s="15" t="inlineStr">
        <is>
          <t>Sprint 0</t>
        </is>
      </c>
      <c r="C15" s="15" t="inlineStr">
        <is>
          <t>BE</t>
        </is>
      </c>
      <c r="D15" s="16" t="inlineStr">
        <is>
          <t>Scaffold subcommand worker + job queue (asynq) untuk proses async</t>
        </is>
      </c>
      <c r="E15" s="15" t="inlineStr">
        <is>
          <t>L4</t>
        </is>
      </c>
      <c r="F15" s="17" t="inlineStr">
        <is>
          <t>Should</t>
        </is>
      </c>
      <c r="G15" s="19" t="inlineStr">
        <is>
          <t>Selesai</t>
        </is>
      </c>
      <c r="H15" s="15" t="inlineStr"/>
      <c r="I15" s="15" t="n">
        <v>2</v>
      </c>
      <c r="J15" s="16" t="inlineStr">
        <is>
          <t>internal/queue (task asynq + payload), internal/mailer (SMTP, soft-fail log-only kalau SMTP_HOST kosong), internal/worker (handler order.paid), subcommand `./api worker` (proses terpisah dari server HTTP, docker-compose service `worker`). Diverifikasi end-to-end: server+worker nyata dijalankan, webhook Midtrans -&gt; enqueue Redis -&gt; worker memproses -&gt; log notifikasi terkirim.</t>
        </is>
      </c>
    </row>
    <row r="16">
      <c r="A16" s="11" t="n">
        <v>15</v>
      </c>
      <c r="B16" s="11" t="inlineStr">
        <is>
          <t>Sprint 0</t>
        </is>
      </c>
      <c r="C16" s="11" t="inlineStr">
        <is>
          <t>Infra</t>
        </is>
      </c>
      <c r="D16" s="12" t="inlineStr">
        <is>
          <t>Push kode ke GitHub (git init, remote, push pertama)</t>
        </is>
      </c>
      <c r="E16" s="11" t="inlineStr">
        <is>
          <t>SETUP-GUIDE §1</t>
        </is>
      </c>
      <c r="F16" s="13" t="inlineStr">
        <is>
          <t>Must</t>
        </is>
      </c>
      <c r="G16" s="14" t="inlineStr">
        <is>
          <t>Selesai</t>
        </is>
      </c>
      <c r="H16" s="11" t="inlineStr"/>
      <c r="I16" s="11" t="n">
        <v>0.5</v>
      </c>
      <c r="J16" s="12" t="inlineStr">
        <is>
          <t>Sudah push ke github.com/Ijeon-Corp/JeonMe</t>
        </is>
      </c>
    </row>
    <row r="17">
      <c r="A17" s="15" t="n">
        <v>16</v>
      </c>
      <c r="B17" s="15" t="inlineStr">
        <is>
          <t>Sprint 0</t>
        </is>
      </c>
      <c r="C17" s="15" t="inlineStr">
        <is>
          <t>Infra</t>
        </is>
      </c>
      <c r="D17" s="16" t="inlineStr">
        <is>
          <t>Provisioning 2 VPS (staging &amp; production) via scripts/provision-vps.sh</t>
        </is>
      </c>
      <c r="E17" s="15" t="inlineStr">
        <is>
          <t>SETUP-GUIDE §2</t>
        </is>
      </c>
      <c r="F17" s="13" t="inlineStr">
        <is>
          <t>Must</t>
        </is>
      </c>
      <c r="G17" s="14" t="inlineStr">
        <is>
          <t>Selesai</t>
        </is>
      </c>
      <c r="H17" s="15" t="inlineStr"/>
      <c r="I17" s="15" t="n">
        <v>1</v>
      </c>
      <c r="J17" s="16" t="inlineStr">
        <is>
          <t>Kedua environment (staging + production) live di VPS 103.147.33.34</t>
        </is>
      </c>
    </row>
    <row r="18">
      <c r="A18" s="11" t="n">
        <v>17</v>
      </c>
      <c r="B18" s="11" t="inlineStr">
        <is>
          <t>Sprint 0</t>
        </is>
      </c>
      <c r="C18" s="11" t="inlineStr">
        <is>
          <t>Infra</t>
        </is>
      </c>
      <c r="D18" s="12" t="inlineStr">
        <is>
          <t>Isi .env di kedua VPS (GHCR_REPO, JWT_SECRET, dsb)</t>
        </is>
      </c>
      <c r="E18" s="11" t="inlineStr">
        <is>
          <t>SETUP-GUIDE §3</t>
        </is>
      </c>
      <c r="F18" s="13" t="inlineStr">
        <is>
          <t>Must</t>
        </is>
      </c>
      <c r="G18" s="14" t="inlineStr">
        <is>
          <t>Selesai</t>
        </is>
      </c>
      <c r="H18" s="11" t="inlineStr"/>
      <c r="I18" s="11" t="n">
        <v>0.5</v>
      </c>
      <c r="J18" s="12" t="inlineStr">
        <is>
          <t>Terisi, lihat SETUP-GUIDE.md</t>
        </is>
      </c>
    </row>
    <row r="19">
      <c r="A19" s="15" t="n">
        <v>18</v>
      </c>
      <c r="B19" s="15" t="inlineStr">
        <is>
          <t>Sprint 0</t>
        </is>
      </c>
      <c r="C19" s="15" t="inlineStr">
        <is>
          <t>Infra</t>
        </is>
      </c>
      <c r="D19" s="16" t="inlineStr">
        <is>
          <t>Buat token GHCR &amp; uji docker login manual di VPS</t>
        </is>
      </c>
      <c r="E19" s="15" t="inlineStr">
        <is>
          <t>SETUP-GUIDE §4</t>
        </is>
      </c>
      <c r="F19" s="13" t="inlineStr">
        <is>
          <t>Must</t>
        </is>
      </c>
      <c r="G19" s="14" t="inlineStr">
        <is>
          <t>Selesai</t>
        </is>
      </c>
      <c r="H19" s="15" t="inlineStr"/>
      <c r="I19" s="15" t="n">
        <v>0.5</v>
      </c>
      <c r="J19" s="16" t="inlineStr">
        <is>
          <t>Token GHCR aktif, dipakai CI/CD</t>
        </is>
      </c>
    </row>
    <row r="20">
      <c r="A20" s="11" t="n">
        <v>19</v>
      </c>
      <c r="B20" s="11" t="inlineStr">
        <is>
          <t>Sprint 0</t>
        </is>
      </c>
      <c r="C20" s="11" t="inlineStr">
        <is>
          <t>Infra</t>
        </is>
      </c>
      <c r="D20" s="12" t="inlineStr">
        <is>
          <t>Setel GitHub Secrets &amp; Environments (staging + production + required reviewer)</t>
        </is>
      </c>
      <c r="E20" s="11" t="inlineStr">
        <is>
          <t>SETUP-GUIDE §5</t>
        </is>
      </c>
      <c r="F20" s="13" t="inlineStr">
        <is>
          <t>Must</t>
        </is>
      </c>
      <c r="G20" s="14" t="inlineStr">
        <is>
          <t>Selesai</t>
        </is>
      </c>
      <c r="H20" s="11" t="inlineStr"/>
      <c r="I20" s="11" t="n">
        <v>0.5</v>
      </c>
      <c r="J20" s="12" t="inlineStr">
        <is>
          <t>Secrets &amp; Environments (staging/production) terkonfigurasi, required reviewer aktif untuk production</t>
        </is>
      </c>
    </row>
    <row r="21">
      <c r="A21" s="15" t="n">
        <v>20</v>
      </c>
      <c r="B21" s="15" t="inlineStr">
        <is>
          <t>Sprint 0</t>
        </is>
      </c>
      <c r="C21" s="15" t="inlineStr">
        <is>
          <t>Infra</t>
        </is>
      </c>
      <c r="D21" s="16" t="inlineStr">
        <is>
          <t>Arahkan DNS Cloudflare (jeonme.com, www, staging.jeonme.com)</t>
        </is>
      </c>
      <c r="E21" s="15" t="inlineStr">
        <is>
          <t>SETUP-GUIDE §6</t>
        </is>
      </c>
      <c r="F21" s="13" t="inlineStr">
        <is>
          <t>Must</t>
        </is>
      </c>
      <c r="G21" s="14" t="inlineStr">
        <is>
          <t>Selesai</t>
        </is>
      </c>
      <c r="H21" s="15" t="inlineStr"/>
      <c r="I21" s="15" t="n">
        <v>0.5</v>
      </c>
      <c r="J21" s="16" t="inlineStr">
        <is>
          <t>DNS Cloudflare sudah diarahkan, live</t>
        </is>
      </c>
    </row>
    <row r="22">
      <c r="A22" s="11" t="n">
        <v>21</v>
      </c>
      <c r="B22" s="11" t="inlineStr">
        <is>
          <t>Sprint 0</t>
        </is>
      </c>
      <c r="C22" s="11" t="inlineStr">
        <is>
          <t>Infra</t>
        </is>
      </c>
      <c r="D22" s="12" t="inlineStr">
        <is>
          <t>Terbitkan sertifikat TLS production via scripts/issue-certbot-cert.sh</t>
        </is>
      </c>
      <c r="E22" s="11" t="inlineStr">
        <is>
          <t>SETUP-GUIDE §7</t>
        </is>
      </c>
      <c r="F22" s="13" t="inlineStr">
        <is>
          <t>Must</t>
        </is>
      </c>
      <c r="G22" s="14" t="inlineStr">
        <is>
          <t>Selesai</t>
        </is>
      </c>
      <c r="H22" s="11" t="inlineStr"/>
      <c r="I22" s="11" t="n">
        <v>0.5</v>
      </c>
      <c r="J22" s="12" t="inlineStr">
        <is>
          <t>Sertifikat TLS terbit via certbot, auto-renew lewat certbot.timer</t>
        </is>
      </c>
    </row>
    <row r="23">
      <c r="A23" s="15" t="n">
        <v>22</v>
      </c>
      <c r="B23" s="15" t="inlineStr">
        <is>
          <t>Sprint 0</t>
        </is>
      </c>
      <c r="C23" s="15" t="inlineStr">
        <is>
          <t>Infra</t>
        </is>
      </c>
      <c r="D23" s="16" t="inlineStr">
        <is>
          <t>Deploy pertama ke staging (push ke main) &amp; verifikasi /api/health</t>
        </is>
      </c>
      <c r="E23" s="15" t="inlineStr">
        <is>
          <t>SETUP-GUIDE §8</t>
        </is>
      </c>
      <c r="F23" s="13" t="inlineStr">
        <is>
          <t>Must</t>
        </is>
      </c>
      <c r="G23" s="14" t="inlineStr">
        <is>
          <t>Selesai</t>
        </is>
      </c>
      <c r="H23" s="15" t="inlineStr"/>
      <c r="I23" s="15" t="n">
        <v>0.5</v>
      </c>
      <c r="J23" s="16" t="inlineStr">
        <is>
          <t>staging.jeonme.com live, /api/health terverifikasi</t>
        </is>
      </c>
    </row>
    <row r="24">
      <c r="A24" s="11" t="n">
        <v>23</v>
      </c>
      <c r="B24" s="11" t="inlineStr">
        <is>
          <t>Sprint 0</t>
        </is>
      </c>
      <c r="C24" s="11" t="inlineStr">
        <is>
          <t>Infra</t>
        </is>
      </c>
      <c r="D24" s="12" t="inlineStr">
        <is>
          <t>Deploy pertama ke production (tag v0.1.0) &amp; verifikasi /api/health</t>
        </is>
      </c>
      <c r="E24" s="11" t="inlineStr">
        <is>
          <t>SETUP-GUIDE §9</t>
        </is>
      </c>
      <c r="F24" s="13" t="inlineStr">
        <is>
          <t>Must</t>
        </is>
      </c>
      <c r="G24" s="14" t="inlineStr">
        <is>
          <t>Selesai</t>
        </is>
      </c>
      <c r="H24" s="11" t="inlineStr"/>
      <c r="I24" s="11" t="n">
        <v>0.5</v>
      </c>
      <c r="J24" s="12" t="inlineStr">
        <is>
          <t>jeonme.com live sejak rilis v0.1.0, /api/health terverifikasi</t>
        </is>
      </c>
    </row>
    <row r="25">
      <c r="A25" s="15" t="n">
        <v>24</v>
      </c>
      <c r="B25" s="15" t="inlineStr">
        <is>
          <t>Sprint 1</t>
        </is>
      </c>
      <c r="C25" s="15" t="inlineStr">
        <is>
          <t>BE</t>
        </is>
      </c>
      <c r="D25" s="16" t="inlineStr">
        <is>
          <t>OAuth Google login</t>
        </is>
      </c>
      <c r="E25" s="15" t="inlineStr">
        <is>
          <t>REQ-F-101</t>
        </is>
      </c>
      <c r="F25" s="13" t="inlineStr">
        <is>
          <t>Must</t>
        </is>
      </c>
      <c r="G25" s="20" t="inlineStr">
        <is>
          <t>Diblokir</t>
        </is>
      </c>
      <c r="H25" s="15" t="inlineStr"/>
      <c r="I25" s="15" t="n">
        <v>2</v>
      </c>
      <c r="J25" s="16" t="inlineStr">
        <is>
          <t>Butuh GOOGLE_CLIENT_ID/SECRET dari Google Cloud Console (belum ada) -- endpoint lain di AuthHandler sudah siap menampung begitu credential tersedia</t>
        </is>
      </c>
    </row>
    <row r="26">
      <c r="A26" s="11" t="n">
        <v>25</v>
      </c>
      <c r="B26" s="11" t="inlineStr">
        <is>
          <t>Sprint 1</t>
        </is>
      </c>
      <c r="C26" s="11" t="inlineStr">
        <is>
          <t>BE</t>
        </is>
      </c>
      <c r="D26" s="12" t="inlineStr">
        <is>
          <t>Reset password via email</t>
        </is>
      </c>
      <c r="E26" s="11" t="inlineStr">
        <is>
          <t>REQ-F-103</t>
        </is>
      </c>
      <c r="F26" s="13" t="inlineStr">
        <is>
          <t>Must</t>
        </is>
      </c>
      <c r="G26" s="14" t="inlineStr">
        <is>
          <t>Selesai</t>
        </is>
      </c>
      <c r="H26" s="11" t="inlineStr"/>
      <c r="I26" s="11" t="n">
        <v>1</v>
      </c>
      <c r="J26" s="12" t="inlineStr">
        <is>
          <t>POST /auth/password-reset/request+confirm, token sekali pakai TTL 1 jam. Pengiriman email sungguhan masih TODO (belum ada provider SMTP)</t>
        </is>
      </c>
    </row>
    <row r="27">
      <c r="A27" s="15" t="n">
        <v>26</v>
      </c>
      <c r="B27" s="15" t="inlineStr">
        <is>
          <t>Sprint 1</t>
        </is>
      </c>
      <c r="C27" s="15" t="inlineStr">
        <is>
          <t>BE</t>
        </is>
      </c>
      <c r="D27" s="16" t="inlineStr">
        <is>
          <t>Verifikasi email sebelum kreator terima pembayaran</t>
        </is>
      </c>
      <c r="E27" s="15" t="inlineStr">
        <is>
          <t>REQ-F-104</t>
        </is>
      </c>
      <c r="F27" s="13" t="inlineStr">
        <is>
          <t>Must</t>
        </is>
      </c>
      <c r="G27" s="14" t="inlineStr">
        <is>
          <t>Selesai</t>
        </is>
      </c>
      <c r="H27" s="15" t="inlineStr"/>
      <c r="I27" s="15" t="n">
        <v>1.5</v>
      </c>
      <c r="J27" s="16" t="inlineStr">
        <is>
          <t>POST /auth/email-verification/request+confirm, token TTL 24 jam. Sama seperti reset password, pengiriman email masih TODO</t>
        </is>
      </c>
    </row>
    <row r="28">
      <c r="A28" s="11" t="n">
        <v>27</v>
      </c>
      <c r="B28" s="11" t="inlineStr">
        <is>
          <t>Sprint 1</t>
        </is>
      </c>
      <c r="C28" s="11" t="inlineStr">
        <is>
          <t>BE</t>
        </is>
      </c>
      <c r="D28" s="12" t="inlineStr">
        <is>
          <t>Revoke sesi / logout semua perangkat</t>
        </is>
      </c>
      <c r="E28" s="11" t="inlineStr">
        <is>
          <t>REQ-F-106</t>
        </is>
      </c>
      <c r="F28" s="17" t="inlineStr">
        <is>
          <t>Should</t>
        </is>
      </c>
      <c r="G28" s="14" t="inlineStr">
        <is>
          <t>Selesai</t>
        </is>
      </c>
      <c r="H28" s="11" t="inlineStr"/>
      <c r="I28" s="11" t="n">
        <v>1</v>
      </c>
      <c r="J28" s="12" t="inlineStr">
        <is>
          <t>POST /auth/logout menaruh jti ke denylist Redis, AuthRequired menolak token yang jti-nya di-revoke. Diverifikasi: token ditolak 401 setelah logout</t>
        </is>
      </c>
    </row>
    <row r="29">
      <c r="A29" s="15" t="n">
        <v>28</v>
      </c>
      <c r="B29" s="15" t="inlineStr">
        <is>
          <t>Sprint 1</t>
        </is>
      </c>
      <c r="C29" s="15" t="inlineStr">
        <is>
          <t>BE+FE</t>
        </is>
      </c>
      <c r="D29" s="16" t="inlineStr">
        <is>
          <t>CRUD tautan (tambah/edit/hapus/urutkan drag-and-drop)</t>
        </is>
      </c>
      <c r="E29" s="15" t="inlineStr">
        <is>
          <t>REQ-F-202</t>
        </is>
      </c>
      <c r="F29" s="13" t="inlineStr">
        <is>
          <t>Must</t>
        </is>
      </c>
      <c r="G29" s="14" t="inlineStr">
        <is>
          <t>Selesai</t>
        </is>
      </c>
      <c r="H29" s="15" t="inlineStr"/>
      <c r="I29" s="15" t="n">
        <v>3</v>
      </c>
      <c r="J29" s="16" t="inlineStr">
        <is>
          <t>CRUD penuh + reorder drag-and-drop di dashboard/links, ownership ditegakkan (user lain 404 saat coba edit/hapus tautan orang lain)</t>
        </is>
      </c>
    </row>
    <row r="30">
      <c r="A30" s="11" t="n">
        <v>29</v>
      </c>
      <c r="B30" s="11" t="inlineStr">
        <is>
          <t>Sprint 1</t>
        </is>
      </c>
      <c r="C30" s="11" t="inlineStr">
        <is>
          <t>BE+FE</t>
        </is>
      </c>
      <c r="D30" s="12" t="inlineStr">
        <is>
          <t>Nonaktifkan sementara tautan tanpa menghapus</t>
        </is>
      </c>
      <c r="E30" s="11" t="inlineStr">
        <is>
          <t>REQ-F-203</t>
        </is>
      </c>
      <c r="F30" s="17" t="inlineStr">
        <is>
          <t>Should</t>
        </is>
      </c>
      <c r="G30" s="14" t="inlineStr">
        <is>
          <t>Selesai</t>
        </is>
      </c>
      <c r="H30" s="11" t="inlineStr"/>
      <c r="I30" s="11" t="n">
        <v>0.5</v>
      </c>
      <c r="J30" s="12" t="inlineStr">
        <is>
          <t>Bagian dari update Links -- toggle is_active di UI yang sama</t>
        </is>
      </c>
    </row>
    <row r="31">
      <c r="A31" s="15" t="n">
        <v>30</v>
      </c>
      <c r="B31" s="15" t="inlineStr">
        <is>
          <t>Sprint 1</t>
        </is>
      </c>
      <c r="C31" s="15" t="inlineStr">
        <is>
          <t>BE+FE</t>
        </is>
      </c>
      <c r="D31" s="16" t="inlineStr">
        <is>
          <t>Pilihan tema (warna, font, layout) dari preset</t>
        </is>
      </c>
      <c r="E31" s="15" t="inlineStr">
        <is>
          <t>REQ-F-204</t>
        </is>
      </c>
      <c r="F31" s="17" t="inlineStr">
        <is>
          <t>Should</t>
        </is>
      </c>
      <c r="G31" s="14" t="inlineStr">
        <is>
          <t>Selesai</t>
        </is>
      </c>
      <c r="H31" s="15" t="inlineStr"/>
      <c r="I31" s="15" t="n">
        <v>2</v>
      </c>
      <c r="J31" s="16" t="inlineStr">
        <is>
          <t>5 preset (default/midnight/sunrise/forest/minimal) via PATCH /dashboard/page, dipilih dari dashboard/links</t>
        </is>
      </c>
    </row>
    <row r="32">
      <c r="A32" s="11" t="n">
        <v>31</v>
      </c>
      <c r="B32" s="11" t="inlineStr">
        <is>
          <t>Sprint 1</t>
        </is>
      </c>
      <c r="C32" s="11" t="inlineStr">
        <is>
          <t>BE+FE</t>
        </is>
      </c>
      <c r="D32" s="12" t="inlineStr">
        <is>
          <t>Upload foto profil &amp; bio singkat (maks 160 karakter)</t>
        </is>
      </c>
      <c r="E32" s="11" t="inlineStr">
        <is>
          <t>REQ-F-205</t>
        </is>
      </c>
      <c r="F32" s="13" t="inlineStr">
        <is>
          <t>Must</t>
        </is>
      </c>
      <c r="G32" s="20" t="inlineStr">
        <is>
          <t>Selesai</t>
        </is>
      </c>
      <c r="H32" s="11" t="inlineStr"/>
      <c r="I32" s="11" t="n">
        <v>1.5</v>
      </c>
      <c r="J32" s="12" t="inlineStr">
        <is>
          <t>Upload foto profil selesai: POST /dashboard/page/avatar (whitelist jpg/png/webp, maks 5MB), key selalu "avatars/&lt;userID&gt;" (upload ulang menimpa, tidak ada file lama menumpuk). Bucket MinIO diberi kebijakan public-read HANYA untuk prefix avatars/ (EnsurePublicRead) -- avatar_url jadi URL publik PERMANEN (bukan presigned 15 menit seperti file produk), prefix products/ tetap privat (diverifikasi 403). Diuji end-to-end: upload PNG asli, diunduh publik tanpa auth &amp; isinya identik, tampil di GetMyPage &amp; GetPublicPage, upload ulang menimpa URL yang sama, ekstensi tidak dikenal (.exe) ditolak.</t>
        </is>
      </c>
    </row>
    <row r="33">
      <c r="A33" s="15" t="n">
        <v>32</v>
      </c>
      <c r="B33" s="15" t="inlineStr">
        <is>
          <t>Sprint 1</t>
        </is>
      </c>
      <c r="C33" s="15" t="inlineStr">
        <is>
          <t>FE</t>
        </is>
      </c>
      <c r="D33" s="16" t="inlineStr">
        <is>
          <t>Meta tag Open Graph di halaman publik</t>
        </is>
      </c>
      <c r="E33" s="15" t="inlineStr">
        <is>
          <t>REQ-F-206</t>
        </is>
      </c>
      <c r="F33" s="17" t="inlineStr">
        <is>
          <t>Should</t>
        </is>
      </c>
      <c r="G33" s="14" t="inlineStr">
        <is>
          <t>Selesai</t>
        </is>
      </c>
      <c r="H33" s="15" t="inlineStr"/>
      <c r="I33" s="15" t="n">
        <v>0.5</v>
      </c>
      <c r="J33" s="16" t="inlineStr">
        <is>
          <t>generateMetadata (OpenGraph + Twitter card) di app/[username]/page.tsx</t>
        </is>
      </c>
    </row>
    <row r="34">
      <c r="A34" s="11" t="n">
        <v>33</v>
      </c>
      <c r="B34" s="11" t="inlineStr">
        <is>
          <t>Sprint 1</t>
        </is>
      </c>
      <c r="C34" s="11" t="inlineStr">
        <is>
          <t>BE</t>
        </is>
      </c>
      <c r="D34" s="12" t="inlineStr">
        <is>
          <t>Cache Redis untuk halaman publik (endpoint trafik tertinggi)</t>
        </is>
      </c>
      <c r="E34" s="11" t="inlineStr">
        <is>
          <t>NF-01, NF-02</t>
        </is>
      </c>
      <c r="F34" s="13" t="inlineStr">
        <is>
          <t>Must</t>
        </is>
      </c>
      <c r="G34" s="14" t="inlineStr">
        <is>
          <t>Selesai</t>
        </is>
      </c>
      <c r="H34" s="11" t="inlineStr"/>
      <c r="I34" s="11" t="n">
        <v>1.5</v>
      </c>
      <c r="J34" s="12" t="inlineStr">
        <is>
          <t>Cache-aside 30 detik di GetPublicPage (key page:&lt;username&gt;), diverifikasi X-Cache: MISS lalu HIT. Invalidate saat UpdateMyPage</t>
        </is>
      </c>
    </row>
    <row r="35">
      <c r="A35" s="15" t="n">
        <v>34</v>
      </c>
      <c r="B35" s="15" t="inlineStr">
        <is>
          <t>Sprint 1</t>
        </is>
      </c>
      <c r="C35" s="15" t="inlineStr">
        <is>
          <t>FE</t>
        </is>
      </c>
      <c r="D35" s="16" t="inlineStr">
        <is>
          <t>Proteksi sesi login di dashboard (redirect ke /login jika token tidak ada)</t>
        </is>
      </c>
      <c r="E35" s="15" t="inlineStr">
        <is>
          <t>REQ-F-106</t>
        </is>
      </c>
      <c r="F35" s="13" t="inlineStr">
        <is>
          <t>Must</t>
        </is>
      </c>
      <c r="G35" s="14" t="inlineStr">
        <is>
          <t>Selesai</t>
        </is>
      </c>
      <c r="H35" s="15" t="inlineStr"/>
      <c r="I35" s="15" t="n">
        <v>1</v>
      </c>
      <c r="J35" s="16" t="inlineStr">
        <is>
          <t>AuthGuard client component, redirect ke /login kalau token kosong. Diverifikasi end-to-end di browser (register -&gt; dashboard tanpa 404/mismatch)</t>
        </is>
      </c>
    </row>
    <row r="36">
      <c r="A36" s="11" t="n">
        <v>35</v>
      </c>
      <c r="B36" s="11" t="inlineStr">
        <is>
          <t>Sprint 1</t>
        </is>
      </c>
      <c r="C36" s="11" t="inlineStr">
        <is>
          <t>FE</t>
        </is>
      </c>
      <c r="D36" s="12" t="inlineStr">
        <is>
          <t>Buat halaman /dashboard/links, /dashboard/products, /dashboard/balance</t>
        </is>
      </c>
      <c r="E36" s="11" t="inlineStr">
        <is>
          <t>-</t>
        </is>
      </c>
      <c r="F36" s="13" t="inlineStr">
        <is>
          <t>Must</t>
        </is>
      </c>
      <c r="G36" s="14" t="inlineStr">
        <is>
          <t>Selesai</t>
        </is>
      </c>
      <c r="H36" s="11" t="inlineStr"/>
      <c r="I36" s="11" t="n">
        <v>2</v>
      </c>
      <c r="J36" s="12" t="inlineStr">
        <is>
          <t>dashboard/links (pengaturan halaman+tautan), dashboard/products (list+create), dashboard/balance (placeholder menunggu Sprint 4) -- sudah tidak 404</t>
        </is>
      </c>
    </row>
    <row r="37">
      <c r="A37" s="15" t="n">
        <v>36</v>
      </c>
      <c r="B37" s="15" t="inlineStr">
        <is>
          <t>Sprint 2</t>
        </is>
      </c>
      <c r="C37" s="15" t="inlineStr">
        <is>
          <t>BE</t>
        </is>
      </c>
      <c r="D37" s="16" t="inlineStr">
        <is>
          <t>Lengkapi update &amp; delete produk</t>
        </is>
      </c>
      <c r="E37" s="15" t="inlineStr">
        <is>
          <t>REQ-F-301</t>
        </is>
      </c>
      <c r="F37" s="13" t="inlineStr">
        <is>
          <t>Must</t>
        </is>
      </c>
      <c r="G37" s="14" t="inlineStr">
        <is>
          <t>Selesai</t>
        </is>
      </c>
      <c r="H37" s="15" t="inlineStr"/>
      <c r="I37" s="15" t="n">
        <v>1</v>
      </c>
      <c r="J37" s="16" t="inlineStr">
        <is>
          <t>PATCH/DELETE /dashboard/products/:id, ownership ditegakkan (diuji: user lain 404)</t>
        </is>
      </c>
    </row>
    <row r="38">
      <c r="A38" s="11" t="n">
        <v>37</v>
      </c>
      <c r="B38" s="11" t="inlineStr">
        <is>
          <t>Sprint 2</t>
        </is>
      </c>
      <c r="C38" s="11" t="inlineStr">
        <is>
          <t>BE</t>
        </is>
      </c>
      <c r="D38" s="12" t="inlineStr">
        <is>
          <t>Validasi tipe/ukuran file + pemindaian dasar file berbahaya</t>
        </is>
      </c>
      <c r="E38" s="11" t="inlineStr">
        <is>
          <t>REQ-F-302</t>
        </is>
      </c>
      <c r="F38" s="13" t="inlineStr">
        <is>
          <t>Must</t>
        </is>
      </c>
      <c r="G38" s="14" t="inlineStr">
        <is>
          <t>Selesai</t>
        </is>
      </c>
      <c r="H38" s="11" t="inlineStr"/>
      <c r="I38" s="11" t="n">
        <v>2</v>
      </c>
      <c r="J38" s="12" t="inlineStr">
        <is>
          <t>Whitelist ekstensi (pdf/zip/epub/mp4/mp3/mov/gambar) + batas 100MB. 'Pemindaian dasar' = whitelist ekstensi, BUKAN antivirus/malware scan sungguhan -- catat sebagai batasan MVP</t>
        </is>
      </c>
    </row>
    <row r="39">
      <c r="A39" s="15" t="n">
        <v>38</v>
      </c>
      <c r="B39" s="15" t="inlineStr">
        <is>
          <t>Sprint 2</t>
        </is>
      </c>
      <c r="C39" s="15" t="inlineStr">
        <is>
          <t>BE+FE</t>
        </is>
      </c>
      <c r="D39" s="16" t="inlineStr">
        <is>
          <t>Aktifkan/nonaktifkan produk dari tampilan publik</t>
        </is>
      </c>
      <c r="E39" s="15" t="inlineStr">
        <is>
          <t>REQ-F-303</t>
        </is>
      </c>
      <c r="F39" s="13" t="inlineStr">
        <is>
          <t>Must</t>
        </is>
      </c>
      <c r="G39" s="14" t="inlineStr">
        <is>
          <t>Selesai</t>
        </is>
      </c>
      <c r="H39" s="15" t="inlineStr"/>
      <c r="I39" s="15" t="n">
        <v>1</v>
      </c>
      <c r="J39" s="16" t="inlineStr">
        <is>
          <t>is_active=true ditolak (400) selama file_key kosong, diuji end-to-end di browser</t>
        </is>
      </c>
    </row>
    <row r="40">
      <c r="A40" s="11" t="n">
        <v>39</v>
      </c>
      <c r="B40" s="11" t="inlineStr">
        <is>
          <t>Sprint 2</t>
        </is>
      </c>
      <c r="C40" s="11" t="inlineStr">
        <is>
          <t>BE</t>
        </is>
      </c>
      <c r="D40" s="12" t="inlineStr">
        <is>
          <t>Signed URL unduhan aman &amp; kedaluwarsa</t>
        </is>
      </c>
      <c r="E40" s="11" t="inlineStr">
        <is>
          <t>REQ-F-304</t>
        </is>
      </c>
      <c r="F40" s="13" t="inlineStr">
        <is>
          <t>Must</t>
        </is>
      </c>
      <c r="G40" s="14" t="inlineStr">
        <is>
          <t>Selesai</t>
        </is>
      </c>
      <c r="H40" s="11" t="inlineStr"/>
      <c r="I40" s="11" t="n">
        <v>2</v>
      </c>
      <c r="J40" s="12" t="inlineStr">
        <is>
          <t>PresignedGetObject 15 menit, diverifikasi bisa diunduh &amp; benar-benar berisi file yang diunggah</t>
        </is>
      </c>
    </row>
    <row r="41">
      <c r="A41" s="15" t="n">
        <v>40</v>
      </c>
      <c r="B41" s="15" t="inlineStr">
        <is>
          <t>Sprint 2</t>
        </is>
      </c>
      <c r="C41" s="15" t="inlineStr">
        <is>
          <t>Infra</t>
        </is>
      </c>
      <c r="D41" s="16" t="inlineStr">
        <is>
          <t>Integrasi object storage S3-compatible (MinIO self-hosted / Cloudflare R2)</t>
        </is>
      </c>
      <c r="E41" s="15" t="inlineStr">
        <is>
          <t>-</t>
        </is>
      </c>
      <c r="F41" s="13" t="inlineStr">
        <is>
          <t>Must</t>
        </is>
      </c>
      <c r="G41" s="14" t="inlineStr">
        <is>
          <t>Selesai</t>
        </is>
      </c>
      <c r="H41" s="15" t="inlineStr"/>
      <c r="I41" s="15" t="n">
        <v>3</v>
      </c>
      <c r="J41" s="16" t="inlineStr">
        <is>
          <t>MinIO self-hosted (bukan R2) -- service baru di docker-compose.yml/.staging.yml/.prod.yml, bucket auto-dibuat saat startup. Signed download URL (REQ-F-304) diekspos publik lewat subdomain storage.jeonme.com/storage-staging.jeonme.com (Apache reverse-proxy + TLS, port MinIO non-default 29000/29100 karena VPS shared -- lihat bug #14/#15 CICD-GUIDE.md). Diverifikasi end-to-end: upload+aktivasi+unduh via URL publik sungguhan dari luar VPS.</t>
        </is>
      </c>
    </row>
    <row r="42">
      <c r="A42" s="11" t="n">
        <v>41</v>
      </c>
      <c r="B42" s="11" t="inlineStr">
        <is>
          <t>Sprint 2</t>
        </is>
      </c>
      <c r="C42" s="11" t="inlineStr">
        <is>
          <t>BE</t>
        </is>
      </c>
      <c r="D42" s="12" t="inlineStr">
        <is>
          <t>Aktifkan subcommand worker + job queue (asynq berbasis Redis)</t>
        </is>
      </c>
      <c r="E42" s="11" t="inlineStr">
        <is>
          <t>L4</t>
        </is>
      </c>
      <c r="F42" s="17" t="inlineStr">
        <is>
          <t>Should</t>
        </is>
      </c>
      <c r="G42" s="19" t="inlineStr">
        <is>
          <t>Selesai</t>
        </is>
      </c>
      <c r="H42" s="11" t="inlineStr"/>
      <c r="I42" s="11" t="n">
        <v>2</v>
      </c>
      <c r="J42" s="12" t="inlineStr">
        <is>
          <t>Duplikat No.14 (Sprint 0) yang sudah selesai -- lihat catatan di sana untuk detail verifikasi.</t>
        </is>
      </c>
    </row>
    <row r="43">
      <c r="A43" s="15" t="n">
        <v>42</v>
      </c>
      <c r="B43" s="15" t="inlineStr">
        <is>
          <t>Sprint 3</t>
        </is>
      </c>
      <c r="C43" s="15" t="inlineStr">
        <is>
          <t>Ops</t>
        </is>
      </c>
      <c r="D43" s="16" t="inlineStr">
        <is>
          <t>Aktifkan akun sandbox Midtrans (dependensi blocking sebelum verifikasi API sungguhan)</t>
        </is>
      </c>
      <c r="E43" s="15" t="inlineStr">
        <is>
          <t>-</t>
        </is>
      </c>
      <c r="F43" s="13" t="inlineStr">
        <is>
          <t>Must</t>
        </is>
      </c>
      <c r="G43" s="20" t="inlineStr">
        <is>
          <t>Selesai</t>
        </is>
      </c>
      <c r="H43" s="15" t="inlineStr"/>
      <c r="I43" s="15" t="n">
        <v>1</v>
      </c>
      <c r="J43" s="16" t="inlineStr">
        <is>
          <t>Akun sandbox Midtrans aktif -- MIDTRANS_SERVER_KEY/CLIENT_KEY terpasang &amp; terverifikasi end-to-end (checkout sungguhan ke API sandbox Midtrans berhasil, redirect_url nyata diterima) di lokal, staging (staging.jeonme.com), DAN production (jeonme.com). MIDTRANS_IS_PRODUCTION=false di KEDUA environment -- production masih pakai kredensial SANDBOX (uang test, bukan uang sungguhan) sampai ada keputusan bisnis untuk pakai akun Midtrans production sungguhan.</t>
        </is>
      </c>
    </row>
    <row r="44">
      <c r="A44" s="11" t="n">
        <v>43</v>
      </c>
      <c r="B44" s="11" t="inlineStr">
        <is>
          <t>Sprint 3</t>
        </is>
      </c>
      <c r="C44" s="11" t="inlineStr">
        <is>
          <t>BE</t>
        </is>
      </c>
      <c r="D44" s="12" t="inlineStr">
        <is>
          <t>Checkout tanpa akun (cukup email/WhatsApp)</t>
        </is>
      </c>
      <c r="E44" s="11" t="inlineStr">
        <is>
          <t>REQ-F-401</t>
        </is>
      </c>
      <c r="F44" s="13" t="inlineStr">
        <is>
          <t>Must</t>
        </is>
      </c>
      <c r="G44" s="14" t="inlineStr">
        <is>
          <t>Selesai</t>
        </is>
      </c>
      <c r="H44" s="11" t="inlineStr"/>
      <c r="I44" s="11" t="n">
        <v>2</v>
      </c>
      <c r="J44" s="12" t="inlineStr">
        <is>
          <t>POST /api/checkout (order dalam transaksi, rollback kalau Xendit gagal), produk harus is_active=true. Diverifikasi end-to-end (browser + curl)</t>
        </is>
      </c>
    </row>
    <row r="45">
      <c r="A45" s="15" t="n">
        <v>44</v>
      </c>
      <c r="B45" s="15" t="inlineStr">
        <is>
          <t>Sprint 3</t>
        </is>
      </c>
      <c r="C45" s="15" t="inlineStr">
        <is>
          <t>BE</t>
        </is>
      </c>
      <c r="D45" s="16" t="inlineStr">
        <is>
          <t>Integrasi Midtrans -- QRIS, Virtual Account, e-wallet (via Snap API)</t>
        </is>
      </c>
      <c r="E45" s="15" t="inlineStr">
        <is>
          <t>REQ-F-402</t>
        </is>
      </c>
      <c r="F45" s="13" t="inlineStr">
        <is>
          <t>Must</t>
        </is>
      </c>
      <c r="G45" s="20" t="inlineStr">
        <is>
          <t>Selesai</t>
        </is>
      </c>
      <c r="H45" s="15" t="inlineStr"/>
      <c r="I45" s="15" t="n">
        <v>4</v>
      </c>
      <c r="J45" s="16" t="inlineStr">
        <is>
          <t>internal/midtrans/client.go (Snap API) terverifikasi end-to-end melawan API sandbox Midtrans sungguhan -- checkout nyata menghasilkan redirect_url Snap yang valid. Signature webhook (SHA512) &amp; idempotensi diuji dengan webhook nyata. CATATAN: ini masih mode SANDBOX (lihat No.42) -- transaksi uang sungguhan belum bisa diproses sampai akun Midtrans production diaktifkan.</t>
        </is>
      </c>
    </row>
    <row r="46">
      <c r="A46" s="11" t="n">
        <v>45</v>
      </c>
      <c r="B46" s="11" t="inlineStr">
        <is>
          <t>Sprint 3</t>
        </is>
      </c>
      <c r="C46" s="11" t="inlineStr">
        <is>
          <t>BE</t>
        </is>
      </c>
      <c r="D46" s="12" t="inlineStr">
        <is>
          <t>Webhook PSP + verifikasi signature</t>
        </is>
      </c>
      <c r="E46" s="11" t="inlineStr">
        <is>
          <t>REQ-F-403, NF-05</t>
        </is>
      </c>
      <c r="F46" s="13" t="inlineStr">
        <is>
          <t>Must</t>
        </is>
      </c>
      <c r="G46" s="14" t="inlineStr">
        <is>
          <t>Selesai</t>
        </is>
      </c>
      <c r="H46" s="11" t="inlineStr"/>
      <c r="I46" s="11" t="n">
        <v>2</v>
      </c>
      <c r="J46" s="12" t="inlineStr">
        <is>
          <t>POST /api/webhooks/xendit menolak x-callback-token salah (401) sebelum payload diproses. Diuji dengan payload sintetis sesuai format dokumentasi Xendit</t>
        </is>
      </c>
    </row>
    <row r="47">
      <c r="A47" s="15" t="n">
        <v>46</v>
      </c>
      <c r="B47" s="15" t="inlineStr">
        <is>
          <t>Sprint 3</t>
        </is>
      </c>
      <c r="C47" s="15" t="inlineStr">
        <is>
          <t>BE</t>
        </is>
      </c>
      <c r="D47" s="16" t="inlineStr">
        <is>
          <t>Idempotensi webhook (tidak diproses dua kali)</t>
        </is>
      </c>
      <c r="E47" s="15" t="inlineStr">
        <is>
          <t>REQ-F-404</t>
        </is>
      </c>
      <c r="F47" s="13" t="inlineStr">
        <is>
          <t>Must</t>
        </is>
      </c>
      <c r="G47" s="14" t="inlineStr">
        <is>
          <t>Selesai</t>
        </is>
      </c>
      <c r="H47" s="15" t="inlineStr"/>
      <c r="I47" s="15" t="n">
        <v>1</v>
      </c>
      <c r="J47" s="16" t="inlineStr">
        <is>
          <t>Unique index psp_transaction_id (partial, WHERE != ''), INSERT ON CONFLICT DO NOTHING. Diuji: webhook sama dikirim 2x, order tetap benar, tepat 1 baris payments</t>
        </is>
      </c>
    </row>
    <row r="48">
      <c r="A48" s="11" t="n">
        <v>47</v>
      </c>
      <c r="B48" s="11" t="inlineStr">
        <is>
          <t>Sprint 3</t>
        </is>
      </c>
      <c r="C48" s="11" t="inlineStr">
        <is>
          <t>BE</t>
        </is>
      </c>
      <c r="D48" s="12" t="inlineStr">
        <is>
          <t>Notifikasi otomatis email/WhatsApp + link unduhan</t>
        </is>
      </c>
      <c r="E48" s="11" t="inlineStr">
        <is>
          <t>REQ-F-405</t>
        </is>
      </c>
      <c r="F48" s="13" t="inlineStr">
        <is>
          <t>Must</t>
        </is>
      </c>
      <c r="G48" s="19" t="inlineStr">
        <is>
          <t>Sebagian</t>
        </is>
      </c>
      <c r="H48" s="11" t="inlineStr"/>
      <c r="I48" s="11" t="n">
        <v>2</v>
      </c>
      <c r="J48" s="12" t="inlineStr">
        <is>
          <t>Kanal EMAIL selesai &amp; terverifikasi SEPENUHNYA end-to-end dengan kredensial SMTP Gmail sungguhan (bukan simulasi) -- worker berhasil mengirim email nyata ke inbox lewat smtp.gmail.com, dikonfirmasi tanpa error di lokal, staging, dan production. Konektivitas port SMTP 587 dari VPS juga dicek langsung (tidak diblokir provider). Kanal WhatsApp masih BELUM diimplementasi sama sekali.</t>
        </is>
      </c>
    </row>
    <row r="49">
      <c r="A49" s="15" t="n">
        <v>48</v>
      </c>
      <c r="B49" s="15" t="inlineStr">
        <is>
          <t>Sprint 3</t>
        </is>
      </c>
      <c r="C49" s="15" t="inlineStr">
        <is>
          <t>BE+FE</t>
        </is>
      </c>
      <c r="D49" s="16" t="inlineStr">
        <is>
          <t>Pesan gagal bayar yang jelas ke pembeli</t>
        </is>
      </c>
      <c r="E49" s="15" t="inlineStr">
        <is>
          <t>REQ-F-406</t>
        </is>
      </c>
      <c r="F49" s="17" t="inlineStr">
        <is>
          <t>Should</t>
        </is>
      </c>
      <c r="G49" s="14" t="inlineStr">
        <is>
          <t>Selesai</t>
        </is>
      </c>
      <c r="H49" s="15" t="inlineStr"/>
      <c r="I49" s="15" t="n">
        <v>1</v>
      </c>
      <c r="J49" s="16" t="inlineStr">
        <is>
          <t>Halaman /checkout/[id] menampilkan pesan sesuai status (pending/paid/expired/failed), polling status selama masih pending</t>
        </is>
      </c>
    </row>
    <row r="50">
      <c r="A50" s="11" t="n">
        <v>49</v>
      </c>
      <c r="B50" s="11" t="inlineStr">
        <is>
          <t>Sprint 4</t>
        </is>
      </c>
      <c r="C50" s="11" t="inlineStr">
        <is>
          <t>BE</t>
        </is>
      </c>
      <c r="D50" s="12" t="inlineStr">
        <is>
          <t>Kalkulasi saldo kreator dari ledger_entries (append-only)</t>
        </is>
      </c>
      <c r="E50" s="11" t="inlineStr">
        <is>
          <t>REQ-F-501</t>
        </is>
      </c>
      <c r="F50" s="13" t="inlineStr">
        <is>
          <t>Must</t>
        </is>
      </c>
      <c r="G50" s="14" t="inlineStr">
        <is>
          <t>Selesai</t>
        </is>
      </c>
      <c r="H50" s="11" t="inlineStr"/>
      <c r="I50" s="11" t="n">
        <v>2</v>
      </c>
      <c r="J50" s="12" t="inlineStr">
        <is>
          <t>Saldo direkonstruksi dari SUM(ledger_entries.amount_idr), tidak ada kolom saldo tersendiri. platform_fee_idr (default 5%, PLACEHOLDER bisnis via env PLATFORM_FEE_PERCENT) dipotong saat kredit</t>
        </is>
      </c>
    </row>
    <row r="51">
      <c r="A51" s="15" t="n">
        <v>50</v>
      </c>
      <c r="B51" s="15" t="inlineStr">
        <is>
          <t>Sprint 4</t>
        </is>
      </c>
      <c r="C51" s="15" t="inlineStr">
        <is>
          <t>BE</t>
        </is>
      </c>
      <c r="D51" s="16" t="inlineStr">
        <is>
          <t>Pisahkan saldo tertahan vs tersedia + holding period anti-fraud</t>
        </is>
      </c>
      <c r="E51" s="15" t="inlineStr">
        <is>
          <t>REQ-F-502</t>
        </is>
      </c>
      <c r="F51" s="13" t="inlineStr">
        <is>
          <t>Must</t>
        </is>
      </c>
      <c r="G51" s="14" t="inlineStr">
        <is>
          <t>Selesai</t>
        </is>
      </c>
      <c r="H51" s="15" t="inlineStr"/>
      <c r="I51" s="15" t="n">
        <v>2</v>
      </c>
      <c r="J51" s="16" t="inlineStr">
        <is>
          <t>Held = kredit dalam HOLDING_PERIOD_DAYS (default 3, via env) dihitung ulang tiap request (bukan job terjadwal). Diuji: kredit baru -&gt; tertahan, setelah lewat periode -&gt; tersedia</t>
        </is>
      </c>
    </row>
    <row r="52">
      <c r="A52" s="11" t="n">
        <v>51</v>
      </c>
      <c r="B52" s="11" t="inlineStr">
        <is>
          <t>Sprint 4</t>
        </is>
      </c>
      <c r="C52" s="11" t="inlineStr">
        <is>
          <t>BE+FE</t>
        </is>
      </c>
      <c r="D52" s="12" t="inlineStr">
        <is>
          <t>Pengajuan penarikan dana ke rekening/e-wallet terverifikasi</t>
        </is>
      </c>
      <c r="E52" s="11" t="inlineStr">
        <is>
          <t>REQ-F-503</t>
        </is>
      </c>
      <c r="F52" s="13" t="inlineStr">
        <is>
          <t>Must</t>
        </is>
      </c>
      <c r="G52" s="14" t="inlineStr">
        <is>
          <t>Selesai</t>
        </is>
      </c>
      <c r="H52" s="11" t="inlineStr"/>
      <c r="I52" s="11" t="n">
        <v>3</v>
      </c>
      <c r="J52" s="12" t="inlineStr">
        <is>
          <t>POST /dashboard/payouts -- validasi saldo tersedia (advisory lock per-user cegah race), langsung mendebit ledger saat pengajuan (bukan saat cair) supaya saldo sama tidak bisa diajukan 2x. Rekening TIDAK diverifikasi (KYC/REQ-F-105 belum ada)</t>
        </is>
      </c>
    </row>
    <row r="53">
      <c r="A53" s="15" t="n">
        <v>52</v>
      </c>
      <c r="B53" s="15" t="inlineStr">
        <is>
          <t>Sprint 4</t>
        </is>
      </c>
      <c r="C53" s="15" t="inlineStr">
        <is>
          <t>BE+FE</t>
        </is>
      </c>
      <c r="D53" s="16" t="inlineStr">
        <is>
          <t>Status penarikan real-time (diajukan/diproses/berhasil/gagal)</t>
        </is>
      </c>
      <c r="E53" s="15" t="inlineStr">
        <is>
          <t>REQ-F-504</t>
        </is>
      </c>
      <c r="F53" s="13" t="inlineStr">
        <is>
          <t>Must</t>
        </is>
      </c>
      <c r="G53" s="20" t="inlineStr">
        <is>
          <t>Sebagian</t>
        </is>
      </c>
      <c r="H53" s="15" t="inlineStr"/>
      <c r="I53" s="15" t="n">
        <v>1</v>
      </c>
      <c r="J53" s="16" t="inlineStr">
        <is>
          <t>Status TIDAK berubah otomatis dari "requested" (belum ada integrasi Midtrans Disbursement API sungguhan), TAPI aksi admin manual sekarang sudah ada (No.53, PATCH /admin/payouts/:id) -- admin bisa memproses requested-&gt;processing-&gt;completed/failed secara manual setelah transfer dana asli di luar sistem. Real-time otomatis masih jadi pekerjaan lanjutan.</t>
        </is>
      </c>
    </row>
    <row r="54">
      <c r="A54" s="11" t="n">
        <v>53</v>
      </c>
      <c r="B54" s="11" t="inlineStr">
        <is>
          <t>Sprint 4</t>
        </is>
      </c>
      <c r="C54" s="11" t="inlineStr">
        <is>
          <t>BE</t>
        </is>
      </c>
      <c r="D54" s="12" t="inlineStr">
        <is>
          <t>Rekonsiliasi disbursement lintas kreator untuk admin</t>
        </is>
      </c>
      <c r="E54" s="11" t="inlineStr">
        <is>
          <t>REQ-F-505</t>
        </is>
      </c>
      <c r="F54" s="17" t="inlineStr">
        <is>
          <t>Should</t>
        </is>
      </c>
      <c r="G54" s="19" t="inlineStr">
        <is>
          <t>Selesai</t>
        </is>
      </c>
      <c r="H54" s="11" t="inlineStr"/>
      <c r="I54" s="11" t="n">
        <v>2</v>
      </c>
      <c r="J54" s="12" t="inlineStr">
        <is>
          <t>GET /admin/payouts (lintas semua kreator, filter status) + PATCH /admin/payouts/:id (state machine requested-&gt;processing-&gt;completed, atau -&gt;failed dari kedua state). Belum ada integrasi Disbursement API sungguhan -- admin transfer dana manual di luar sistem lalu tandai statusnya di sini. Kalau ditandai "failed", ledger debit yang dicatat saat pengajuan di-REVERSE (dikredit balik) supaya saldo kreator tidak hilang. Halaman /admin/payouts baru (filter Perlu Tindakan/Semua Riwayat). Diverifikasi end-to-end: payout diproses sampai selesai, payout lain ditandai gagal &amp; saldo terkonfirmasi kembali, transisi status tidak valid ditolak 400.</t>
        </is>
      </c>
    </row>
    <row r="55">
      <c r="A55" s="15" t="n">
        <v>54</v>
      </c>
      <c r="B55" s="15" t="inlineStr">
        <is>
          <t>Sprint 4</t>
        </is>
      </c>
      <c r="C55" s="15" t="inlineStr">
        <is>
          <t>CI/CD</t>
        </is>
      </c>
      <c r="D55" s="16" t="inlineStr">
        <is>
          <t>Otomasi rollback lewat workflow_dispatch input (lanjutan L2)</t>
        </is>
      </c>
      <c r="E55" s="15" t="inlineStr">
        <is>
          <t>L2</t>
        </is>
      </c>
      <c r="F55" s="18" t="inlineStr">
        <is>
          <t>Could</t>
        </is>
      </c>
      <c r="G55" s="14" t="inlineStr">
        <is>
          <t>Selesai</t>
        </is>
      </c>
      <c r="H55" s="15" t="inlineStr"/>
      <c r="I55" s="15" t="n">
        <v>1</v>
      </c>
      <c r="J55" s="16" t="inlineStr">
        <is>
          <t>Sudah dikerjakan sejak audit CI/CD awal (commit 221b6ad) -- deploy-staging.yml &amp; deploy-production.yml sudah punya workflow_dispatch input image_tag. Baris ini sebelumnya salah tercatat Belum Mulai</t>
        </is>
      </c>
    </row>
    <row r="56">
      <c r="A56" s="11" t="n">
        <v>55</v>
      </c>
      <c r="B56" s="11" t="inlineStr">
        <is>
          <t>Sprint 5</t>
        </is>
      </c>
      <c r="C56" s="11" t="inlineStr">
        <is>
          <t>BE</t>
        </is>
      </c>
      <c r="D56" s="12" t="inlineStr">
        <is>
          <t>Pencatatan klik per tautan &amp; kunjungan halaman</t>
        </is>
      </c>
      <c r="E56" s="11" t="inlineStr">
        <is>
          <t>REQ-F-601</t>
        </is>
      </c>
      <c r="F56" s="13" t="inlineStr">
        <is>
          <t>Must</t>
        </is>
      </c>
      <c r="G56" s="14" t="inlineStr">
        <is>
          <t>Selesai</t>
        </is>
      </c>
      <c r="H56" s="11" t="inlineStr"/>
      <c r="I56" s="11" t="n">
        <v>1.5</v>
      </c>
      <c r="J56" s="12" t="inlineStr">
        <is>
          <t>POST /pages/:username/track (publik, fail-silent) mencatat view/click ke analytics_events. Tracking dipasang di halaman publik (view saat load, click per tautan)</t>
        </is>
      </c>
    </row>
    <row r="57">
      <c r="A57" s="15" t="n">
        <v>56</v>
      </c>
      <c r="B57" s="15" t="inlineStr">
        <is>
          <t>Sprint 5</t>
        </is>
      </c>
      <c r="C57" s="15" t="inlineStr">
        <is>
          <t>BE+FE</t>
        </is>
      </c>
      <c r="D57" s="16" t="inlineStr">
        <is>
          <t>Grafik tren kunjungan &amp; penjualan per rentang waktu</t>
        </is>
      </c>
      <c r="E57" s="15" t="inlineStr">
        <is>
          <t>REQ-F-602</t>
        </is>
      </c>
      <c r="F57" s="17" t="inlineStr">
        <is>
          <t>Should</t>
        </is>
      </c>
      <c r="G57" s="14" t="inlineStr">
        <is>
          <t>Selesai</t>
        </is>
      </c>
      <c r="H57" s="15" t="inlineStr"/>
      <c r="I57" s="15" t="n">
        <v>2</v>
      </c>
      <c r="J57" s="16" t="inlineStr">
        <is>
          <t>GET /dashboard/analytics/summary: total view/klik + deret harian 30 hari, ditampilkan sebagai bar chart CSS sederhana di dashboard Ringkasan</t>
        </is>
      </c>
    </row>
    <row r="58">
      <c r="A58" s="11" t="n">
        <v>57</v>
      </c>
      <c r="B58" s="11" t="inlineStr">
        <is>
          <t>Sprint 5</t>
        </is>
      </c>
      <c r="C58" s="11" t="inlineStr">
        <is>
          <t>BE+FE</t>
        </is>
      </c>
      <c r="D58" s="12" t="inlineStr">
        <is>
          <t>Produk terlaris &amp; sumber trafik (referrer) utama</t>
        </is>
      </c>
      <c r="E58" s="11" t="inlineStr">
        <is>
          <t>REQ-F-603</t>
        </is>
      </c>
      <c r="F58" s="17" t="inlineStr">
        <is>
          <t>Should</t>
        </is>
      </c>
      <c r="G58" s="14" t="inlineStr">
        <is>
          <t>Selesai</t>
        </is>
      </c>
      <c r="H58" s="11" t="inlineStr"/>
      <c r="I58" s="11" t="n">
        <v>1.5</v>
      </c>
      <c r="J58" s="12" t="inlineStr">
        <is>
          <t>Produk terlaris dihitung dari order status='paid' (bukan sekadar dibuat). Sumber trafik dari kolom referrer analytics_events</t>
        </is>
      </c>
    </row>
    <row r="59">
      <c r="A59" s="15" t="n">
        <v>58</v>
      </c>
      <c r="B59" s="15" t="inlineStr">
        <is>
          <t>Sprint 5</t>
        </is>
      </c>
      <c r="C59" s="15" t="inlineStr">
        <is>
          <t>BE</t>
        </is>
      </c>
      <c r="D59" s="16" t="inlineStr">
        <is>
          <t>Rate limiting API</t>
        </is>
      </c>
      <c r="E59" s="15" t="inlineStr">
        <is>
          <t>NF-05</t>
        </is>
      </c>
      <c r="F59" s="13" t="inlineStr">
        <is>
          <t>Must</t>
        </is>
      </c>
      <c r="G59" s="14" t="inlineStr">
        <is>
          <t>Selesai</t>
        </is>
      </c>
      <c r="H59" s="15" t="inlineStr"/>
      <c r="I59" s="15" t="n">
        <v>1</v>
      </c>
      <c r="J59" s="16" t="inlineStr">
        <is>
          <t>Redis fixed-window per IP: 10/menit untuk auth (register+login berbagi kuota), 20/menit checkout, 60/menit track. Fail-open kalau Redis down. Diuji: request ke-11 balas 429</t>
        </is>
      </c>
    </row>
    <row r="60">
      <c r="A60" s="11" t="n">
        <v>59</v>
      </c>
      <c r="B60" s="11" t="inlineStr">
        <is>
          <t>Sprint 5</t>
        </is>
      </c>
      <c r="C60" s="11" t="inlineStr">
        <is>
          <t>BE</t>
        </is>
      </c>
      <c r="D60" s="12" t="inlineStr">
        <is>
          <t>Log audit untuk setiap perubahan saldo &amp; status transaksi</t>
        </is>
      </c>
      <c r="E60" s="11" t="inlineStr">
        <is>
          <t>NF-10</t>
        </is>
      </c>
      <c r="F60" s="13" t="inlineStr">
        <is>
          <t>Must</t>
        </is>
      </c>
      <c r="G60" s="14" t="inlineStr">
        <is>
          <t>Selesai</t>
        </is>
      </c>
      <c r="H60" s="11" t="inlineStr"/>
      <c r="I60" s="11" t="n">
        <v>1.5</v>
      </c>
      <c r="J60" s="12" t="inlineStr">
        <is>
          <t>Tabel audit_log (user_id, action, entity_type, entity_id, metadata jsonb), dicatat DI DALAM transaksi yang sama dengan perubahan (order.paid, ledger.credit, payout.requested, user.deleted) supaya tidak pernah hilang kalau di-rollback</t>
        </is>
      </c>
    </row>
    <row r="61">
      <c r="A61" s="15" t="n">
        <v>60</v>
      </c>
      <c r="B61" s="15" t="inlineStr">
        <is>
          <t>Sprint 5</t>
        </is>
      </c>
      <c r="C61" s="15" t="inlineStr">
        <is>
          <t>BE+Legal</t>
        </is>
      </c>
      <c r="D61" s="16" t="inlineStr">
        <is>
          <t>Mekanisme consent &amp; hapus data sesuai UU PDP</t>
        </is>
      </c>
      <c r="E61" s="15" t="inlineStr">
        <is>
          <t>NF-09</t>
        </is>
      </c>
      <c r="F61" s="13" t="inlineStr">
        <is>
          <t>Must</t>
        </is>
      </c>
      <c r="G61" s="20" t="inlineStr">
        <is>
          <t>Selesai</t>
        </is>
      </c>
      <c r="H61" s="15" t="inlineStr"/>
      <c r="I61" s="15" t="n">
        <v>2</v>
      </c>
      <c r="J61" s="16" t="inlineStr">
        <is>
          <t>Consent WAJIB dicentang saat registrasi (consent_accepted_at dicatat). Hapus akun = ANONIMISASI (email/username diganti, password_hash dihapus, halaman+produk dinonaktifkan) BUKAN hapus baris fisik -- order/ledger/payment tetap ada untuk kebutuhan pembukuan. CATATAN: ini implementasi MVP berdasarkan pemahaman umum, BUKAN nasihat hukum bersertifikasi -- perlu review oleh yang paham UU PDP secara spesifik sebelum go-live sungguhan</t>
        </is>
      </c>
    </row>
    <row r="62">
      <c r="A62" s="11" t="n">
        <v>61</v>
      </c>
      <c r="B62" s="11" t="inlineStr">
        <is>
          <t>Sprint 5</t>
        </is>
      </c>
      <c r="C62" s="11" t="inlineStr">
        <is>
          <t>BE</t>
        </is>
      </c>
      <c r="D62" s="12" t="inlineStr">
        <is>
          <t>Tambah golangci-lint (lanjutan L3)</t>
        </is>
      </c>
      <c r="E62" s="11" t="inlineStr">
        <is>
          <t>L3</t>
        </is>
      </c>
      <c r="F62" s="18" t="inlineStr">
        <is>
          <t>Could</t>
        </is>
      </c>
      <c r="G62" s="14" t="inlineStr">
        <is>
          <t>Selesai</t>
        </is>
      </c>
      <c r="H62" s="11" t="inlineStr"/>
      <c r="I62" s="11" t="n">
        <v>0.5</v>
      </c>
      <c r="J62" s="12" t="inlineStr">
        <is>
          <t>Duplikat dari No.13 (Sprint 0) yang sudah selesai sejak bug #11 (commit d6ff131) -- baris ini sebelumnya salah tercatat Belum Mulai</t>
        </is>
      </c>
    </row>
    <row r="63">
      <c r="A63" s="15" t="n">
        <v>62</v>
      </c>
      <c r="B63" s="15" t="inlineStr">
        <is>
          <t>Sprint 5</t>
        </is>
      </c>
      <c r="C63" s="15" t="inlineStr">
        <is>
          <t>QA</t>
        </is>
      </c>
      <c r="D63" s="16" t="inlineStr">
        <is>
          <t>Smoke test transaksi dengan uang sungguhan (nominal kecil)</t>
        </is>
      </c>
      <c r="E63" s="15" t="inlineStr">
        <is>
          <t>-</t>
        </is>
      </c>
      <c r="F63" s="13" t="inlineStr">
        <is>
          <t>Must</t>
        </is>
      </c>
      <c r="G63" s="20" t="inlineStr">
        <is>
          <t>Diblokir</t>
        </is>
      </c>
      <c r="H63" s="15" t="inlineStr"/>
      <c r="I63" s="15" t="n">
        <v>0.5</v>
      </c>
      <c r="J63" s="16" t="inlineStr">
        <is>
          <t>Masih diblokir -- kredensial Midtrans yang terpasang (No.42) adalah kredensial SANDBOX (uang test), belum akun production sungguhan. Smoke test dengan uang sungguhan baru bisa dilakukan setelah ada keputusan bisnis untuk mengaktifkan Midtrans production.</t>
        </is>
      </c>
    </row>
    <row r="64">
      <c r="A64" s="11" t="n">
        <v>63</v>
      </c>
      <c r="B64" s="11" t="inlineStr">
        <is>
          <t>Sprint 5</t>
        </is>
      </c>
      <c r="C64" s="11" t="inlineStr">
        <is>
          <t>Ops</t>
        </is>
      </c>
      <c r="D64" s="12" t="inlineStr">
        <is>
          <t>Jalankan penuh checklist go-live CICD-GUIDE §12</t>
        </is>
      </c>
      <c r="E64" s="11" t="inlineStr">
        <is>
          <t>-</t>
        </is>
      </c>
      <c r="F64" s="13" t="inlineStr">
        <is>
          <t>Must</t>
        </is>
      </c>
      <c r="G64" s="20" t="inlineStr">
        <is>
          <t>Sebagian</t>
        </is>
      </c>
      <c r="H64" s="11" t="inlineStr"/>
      <c r="I64" s="11" t="n">
        <v>1</v>
      </c>
      <c r="J64" s="12" t="inlineStr">
        <is>
          <t>Checklist di CICD-GUIDE.md Bagian 14 sebagian besar sudah tercentang dari kerja sebelumnya -- perlu review manual sekali lagi sebelum benar-benar go-live publik (bukan sekadar deploy teknis)</t>
        </is>
      </c>
    </row>
    <row r="65">
      <c r="A65" s="15" t="n">
        <v>64</v>
      </c>
      <c r="B65" s="15" t="inlineStr">
        <is>
          <t>Sprint 6</t>
        </is>
      </c>
      <c r="C65" s="15" t="inlineStr">
        <is>
          <t>BE+FE</t>
        </is>
      </c>
      <c r="D65" s="16" t="inlineStr">
        <is>
          <t>Manajemen user admin (lihat, suspend/aktifkan akun kreator)</t>
        </is>
      </c>
      <c r="E65" s="15" t="inlineStr">
        <is>
          <t>REQ-F-701</t>
        </is>
      </c>
      <c r="F65" s="13" t="inlineStr">
        <is>
          <t>Must</t>
        </is>
      </c>
      <c r="G65" s="14" t="inlineStr">
        <is>
          <t>Selesai</t>
        </is>
      </c>
      <c r="H65" s="15" t="n"/>
      <c r="I65" s="15" t="n">
        <v>2</v>
      </c>
      <c r="J65" s="16" t="inlineStr">
        <is>
          <t>GET/PATCH /admin/users -- cari, suspend (blokir login dengan pesan jelas), aktifkan lagi. Diuji: suspend-&gt;login ditolak 403-&gt;aktifkan-&gt;login pulih</t>
        </is>
      </c>
    </row>
    <row r="66">
      <c r="A66" s="15" t="n">
        <v>65</v>
      </c>
      <c r="B66" s="15" t="inlineStr">
        <is>
          <t>Sprint 6</t>
        </is>
      </c>
      <c r="C66" s="15" t="inlineStr">
        <is>
          <t>BE+FE</t>
        </is>
      </c>
      <c r="D66" s="16" t="inlineStr">
        <is>
          <t>Moderasi konten (tinjau &amp; takedown halaman/produk yang dilaporkan)</t>
        </is>
      </c>
      <c r="E66" s="15" t="inlineStr">
        <is>
          <t>REQ-F-702</t>
        </is>
      </c>
      <c r="F66" s="13" t="inlineStr">
        <is>
          <t>Must</t>
        </is>
      </c>
      <c r="G66" s="14" t="inlineStr">
        <is>
          <t>Selesai</t>
        </is>
      </c>
      <c r="H66" s="15" t="n"/>
      <c r="I66" s="15" t="n">
        <v>2</v>
      </c>
      <c r="J66" s="16" t="inlineStr">
        <is>
          <t>POST /reports (publik, tanpa akun) + GET/PATCH /admin/reports untuk admin. Takedown diverifikasi benar-benar unpublish halaman/nonaktifkan produk</t>
        </is>
      </c>
    </row>
    <row r="67">
      <c r="A67" s="15" t="n">
        <v>66</v>
      </c>
      <c r="B67" s="15" t="inlineStr">
        <is>
          <t>Sprint 6</t>
        </is>
      </c>
      <c r="C67" s="15" t="inlineStr">
        <is>
          <t>BE+FE</t>
        </is>
      </c>
      <c r="D67" s="16" t="inlineStr">
        <is>
          <t>Dashboard admin (ringkasan user, transaksi, laporan)</t>
        </is>
      </c>
      <c r="E67" s="15" t="inlineStr">
        <is>
          <t>REQ-F-703</t>
        </is>
      </c>
      <c r="F67" s="13" t="inlineStr">
        <is>
          <t>Should</t>
        </is>
      </c>
      <c r="G67" s="14" t="inlineStr">
        <is>
          <t>Selesai</t>
        </is>
      </c>
      <c r="H67" s="15" t="n"/>
      <c r="I67" s="15" t="n">
        <v>2</v>
      </c>
      <c r="J67" s="16" t="inlineStr">
        <is>
          <t>GET /admin/summary: total user, user baru 7 hari, transaksi lunas, pendapatan, laporan tertunda. Tidak ada endpoint API untuk jadi admin (sengaja SQL manual saja) -- AdminRequired selalu cek role ke DB, bukan klaim JWT</t>
        </is>
      </c>
    </row>
    <row r="68">
      <c r="A68" s="22" t="n">
        <v>67</v>
      </c>
      <c r="B68" s="22" t="inlineStr">
        <is>
          <t>Sprint 7</t>
        </is>
      </c>
      <c r="C68" s="22" t="inlineStr">
        <is>
          <t>BE+FE</t>
        </is>
      </c>
      <c r="D68" s="23" t="inlineStr">
        <is>
          <t>Kode voucher/diskon per produk (persentase atau nominal, kode tunggal atau generate massal sekali pakai, syarat minimum pembelian, maksimum diskon, berlaku untuk produk tertentu/semua produk)</t>
        </is>
      </c>
      <c r="E68" s="22" t="inlineStr">
        <is>
          <t>Lynk.id</t>
        </is>
      </c>
      <c r="F68" s="13" t="inlineStr">
        <is>
          <t>Must</t>
        </is>
      </c>
      <c r="G68" s="14" t="inlineStr">
        <is>
          <t>Selesai</t>
        </is>
      </c>
      <c r="H68" s="22" t="n"/>
      <c r="I68" s="22" t="n">
        <v>3</v>
      </c>
      <c r="J68" s="23" t="inlineStr">
        <is>
          <t>Diadaptasi dari fitur Voucher Lynk.id (tipe Percentage/Percentage-with-cap/Nominal/Nominal-with-cap, hanya 1 voucher per checkout). Perlu tabel vouchers baru + validasi di endpoint checkout. -- SELESAI (24 Juli 2026): migrasi 000006_vouchers, VoucherHandler CRUD + integrasi checkout (diskon persentase/nominal, generate massal, cakupan produk, min. pembelian, maks. diskon). Diverifikasi end-to-end: kode tunggal &amp; batch (5 kode unik max_uses=1), toggle/hapus, checkout sungguhan ke Midtrans sandbox dengan diskon terpotong benar (Rp49.000 -&gt; Rp39.200 dgn CHECKOUT20), used_count bertambah, kode kedaluwarsa/salah-scope/melebihi batas pemakaian ditolak dengan pesan jelas.</t>
        </is>
      </c>
    </row>
    <row r="69">
      <c r="A69" s="15" t="n">
        <v>68</v>
      </c>
      <c r="B69" s="15" t="inlineStr">
        <is>
          <t>Sprint 7</t>
        </is>
      </c>
      <c r="C69" s="15" t="inlineStr">
        <is>
          <t>BE+FE</t>
        </is>
      </c>
      <c r="D69" s="16" t="inlineStr">
        <is>
          <t>Flash sale / diskon waktu terbatas per produk (harga coret otomatis kembali ke harga normal setelah periode berakhir)</t>
        </is>
      </c>
      <c r="E69" s="15" t="inlineStr">
        <is>
          <t>Lynk.id+Linktree</t>
        </is>
      </c>
      <c r="F69" s="17" t="inlineStr">
        <is>
          <t>Should</t>
        </is>
      </c>
      <c r="G69" s="14" t="inlineStr">
        <is>
          <t>Selesai</t>
        </is>
      </c>
      <c r="H69" s="15" t="n"/>
      <c r="I69" s="15" t="n">
        <v>2</v>
      </c>
      <c r="J69" s="16" t="inlineStr">
        <is>
          <t>Kedua platform punya ini sebagai pendorong konversi jangka pendek. Field start/end time di tabel products, harga coret dihitung otomatis di FE saat aktif. -- SELESAI (24 Juli 2026): migrasi 000007_flash_sale (3 kolom nullable di products), harga efektif dihitung live dari now() (bukan cron). Diverifikasi end-to-end: dashboard jadwalkan/batalkan flash sale, halaman publik &amp; pratinjau tampilkan harga dicoret, checkout sungguhan ke Midtrans sandbox charge harga flash sale (bukan harga asli), voucher (No.67) menumpuk benar di atas harga flash sale, validasi (harga&gt;=asli, ends&lt;=starts, field parsial) ditolak, dan flash sale yang sudah lewat otomatis kembali ke harga normal tanpa aksi manual.</t>
        </is>
      </c>
    </row>
    <row r="70">
      <c r="A70" s="22" t="n">
        <v>69</v>
      </c>
      <c r="B70" s="22" t="inlineStr">
        <is>
          <t>Sprint 7</t>
        </is>
      </c>
      <c r="C70" s="22" t="inlineStr">
        <is>
          <t>BE+FE</t>
        </is>
      </c>
      <c r="D70" s="23" t="inlineStr">
        <is>
          <t>Opsi harga "bayar seikhlasnya" (pay-what-you-want) dengan batas harga minimum</t>
        </is>
      </c>
      <c r="E70" s="22" t="inlineStr">
        <is>
          <t>Lynk.id</t>
        </is>
      </c>
      <c r="F70" s="17" t="inlineStr">
        <is>
          <t>Should</t>
        </is>
      </c>
      <c r="G70" s="14" t="inlineStr">
        <is>
          <t>Selesai</t>
        </is>
      </c>
      <c r="H70" s="22" t="n"/>
      <c r="I70" s="22" t="n">
        <v>1.5</v>
      </c>
      <c r="J70" s="23" t="inlineStr">
        <is>
          <t>Fitur Digital Product Lynk.id ("Allow customer to pay what they want"). Cocok untuk kreator konten edukasi/donasi-driven. -- SELESAI (24 Juli 2026): migrasi 000008_pwyw (pwyw_enabled + pwyw_min_price_idr). Sengaja tidak bisa aktif bersamaan dengan flash sale (No.68) pada produk yang sama -- validasi dua arah di ProductHandler.Update. Diverifikasi end-to-end: checkout dengan jumlah di bawah minimum ditolak, jumlah valid charge sesuai pilihan pembeli (bukan price_idr produk), voucher (No.67) menumpuk benar di atas jumlah pilihan pembeli, validasi konflik flash-sale/pwyw dua arah ditolak dengan jelas, UI dashboard &amp; halaman publik ("Mulai dari Rp X" + input jumlah) berfungsi.</t>
        </is>
      </c>
    </row>
    <row r="71">
      <c r="A71" s="15" t="n">
        <v>70</v>
      </c>
      <c r="B71" s="15" t="inlineStr">
        <is>
          <t>Sprint 7</t>
        </is>
      </c>
      <c r="C71" s="15" t="inlineStr">
        <is>
          <t>BE+FE</t>
        </is>
      </c>
      <c r="D71" s="16" t="inlineStr">
        <is>
          <t>Bundel produk (gabung beberapa produk digital jadi satu paket harga diskon, tampil dengan harga asli dicoret)</t>
        </is>
      </c>
      <c r="E71" s="15" t="inlineStr">
        <is>
          <t>Lynk.id</t>
        </is>
      </c>
      <c r="F71" s="17" t="inlineStr">
        <is>
          <t>Should</t>
        </is>
      </c>
      <c r="G71" s="14" t="inlineStr">
        <is>
          <t>Selesai</t>
        </is>
      </c>
      <c r="H71" s="15" t="n"/>
      <c r="I71" s="15" t="n">
        <v>2.5</v>
      </c>
      <c r="J71" s="16" t="inlineStr">
        <is>
          <t>Diverifikasi langsung di toko publik Lynk.id sungguhan (miss.buku) -- pola "[COMPLETE BUNDLE]" dengan harga coret. Butuh tabel product_bundles (relasi many-to-many ke products) + akses gabungan file saat checkout. -- SELESAI (24 Juli 2026): migrasi 000009_bundles (kolom is_bundle di products + tabel junction bundle_items, ON DELETE CASCADE). Bundel dimodelkan sebagai baris products biasa (is_bundle=true) sehingga checkout/webhook/ledger yang sudah ada dipakai TANPA perubahan -- hanya alur unduhan yang bercabang (redirect ke halaman status checkout multi-file, bukan satu presigned URL). Diverifikasi end-to-end nyata: buat bundel dari 2 produk aktif (harga bundel &lt; jumlah harga asli, tervalidasi), aktifkan, tampil di halaman publik dengan harga asli dicoret (dikonfirmasi lewat HTML SSR sungguhan), checkout sungguhan ke Midtrans sandbox + webhook signature valid -&gt; order lunas -&gt; endpoint /checkout/:id/bundle-items mengeluarkan 2 presigned URL yang benar-benar bisa diunduh (HTTP 200). Validasi ditolak dengan benar: &lt;2 produk, produk bukan milik kreator, bundel-di-dalam-bundel, harga bundel &gt;= jumlah harga asli. Dikonfirmasi produk biasa TIDAK menampilkan baris bundel di /dashboard/products, dan unduhan produk tunggal (non-bundel) tetap redirect langsung ke file presigned (tidak berubah).</t>
        </is>
      </c>
    </row>
    <row r="72">
      <c r="A72" s="22" t="n">
        <v>71</v>
      </c>
      <c r="B72" s="22" t="inlineStr">
        <is>
          <t>Sprint 7</t>
        </is>
      </c>
      <c r="C72" s="22" t="inlineStr">
        <is>
          <t>BE+FE</t>
        </is>
      </c>
      <c r="D72" s="23" t="inlineStr">
        <is>
          <t>Blok Dukungan/Donasi (tip jar) -- pengunjung beri nominal bebas ke kreator tanpa perlu "membeli produk"</t>
        </is>
      </c>
      <c r="E72" s="22" t="inlineStr">
        <is>
          <t>Lynk.id</t>
        </is>
      </c>
      <c r="F72" s="13" t="inlineStr">
        <is>
          <t>Must</t>
        </is>
      </c>
      <c r="G72" s="14" t="inlineStr">
        <is>
          <t>Selesai</t>
        </is>
      </c>
      <c r="H72" s="22" t="n"/>
      <c r="I72" s="22" t="n">
        <v>2.5</v>
      </c>
      <c r="J72" s="23" t="inlineStr">
        <is>
          <t>Fitur "Supports" Lynk.id. Versi awal: nominal sekali bayar saja (skip dulu kadens berulang mingguan/bulanan -- itu butuh integrasi subscription/recurring charge Midtrans terpisah, catat sebagai pekerjaan lanjutan kalau permintaannya tervalidasi). -- SELESAI (24 Juli 2026): migrasi 000010_donations (kolom is_donation di products). Donasi dimodelkan sebagai SATU baris products per kreator (is_donation=true, pwyw_enabled=true) -- pola sama seperti bundel (No.70), sehingga checkout/webhook/ledger yang sudah ada dipakai TANPA perubahan lewat mekanisme bayar-seikhlasnya (No.69) yang sudah ada. Beda dengan bundel, baris ini TIDAK tampil di grid Produk publik -- dapat blok tersendiri (heart icon + judul + tombol "Dukung") yang tampil setelah blok Tautan, sebelum grid Produk. Diverifikasi end-to-end nyata: aktifkan blok dengan judul+nominal minimum, tervalidasi (judul wajib, nominal &gt;= Rp1.000), tampil benar di HTML SSR halaman publik dengan posisi &amp; markup yang tepat, TIDAK muncul di /dashboard/products. Checkout sungguhan ke Midtrans sandbox dengan nominal pilihan pembeli (validasi jumlah &lt; minimum ditolak) + webhook signature valid -&gt; order lunas -&gt; ledger kreator terkredit benar (nominal - platform fee). Halaman status checkout menampilkan ucapan terima kasih (BUKAN tombol unduh -- donasi tidak pernah punya file), begitu juga redirect DownloadFile dan isi email notifikasi worker, keduanya dicabangkan khusus untuk is_donation. Nonaktifkan blok -&gt; langsung hilang dari halaman publik, pengaturan (judul/nominal) tetap tersimpan untuk diaktifkan lagi. Versi awal sengaja hanya nominal sekali bayar (bukan langganan berulang) sesuai catatan scope semula.</t>
        </is>
      </c>
    </row>
    <row r="73">
      <c r="A73" s="15" t="n">
        <v>72</v>
      </c>
      <c r="B73" s="15" t="inlineStr">
        <is>
          <t>Sprint 7</t>
        </is>
      </c>
      <c r="C73" s="15" t="inlineStr">
        <is>
          <t>BE+FE</t>
        </is>
      </c>
      <c r="D73" s="16" t="inlineStr">
        <is>
          <t>Program afiliasi (kreator undang afiliator dengan komisi custom per produk; link afiliasi unik dilacak, komisi otomatis masuk ledger afiliator saat order lunas)</t>
        </is>
      </c>
      <c r="E73" s="15" t="inlineStr">
        <is>
          <t>Lynk.id</t>
        </is>
      </c>
      <c r="F73" s="17" t="inlineStr">
        <is>
          <t>Should</t>
        </is>
      </c>
      <c r="G73" s="14" t="inlineStr">
        <is>
          <t>Selesai</t>
        </is>
      </c>
      <c r="H73" s="15" t="n"/>
      <c r="I73" s="15" t="n">
        <v>4</v>
      </c>
      <c r="J73" s="16" t="inlineStr">
        <is>
          <t>Diverifikasi langsung di dashboard afiliasi Lynk.id (mode privat: undang + komisi custom; mode publik: marketplace lintas kreator). Versi awal Jeonme: mode privat dulu (undang by user_id/email), marketplace publik lintas kreator jadi fase lanjutan. -- SELESAI (24 Juli 2026): migrasi 000011_affiliates -- tabel affiliates (satu baris = satu hubungan kreator&lt;-&gt;afiliator dengan SATU referral_code untuk semuanya) + affiliate_commissions (junction ke products, komisi persen custom per produk) + kolom affiliate_id/affiliate_commission_idr di orders. Mode privat sesuai scope: afiliator harus sudah jadi pengguna Jeonme (diundang lewat email), marketplace publik lintas kreator jadi fase lanjutan. Checkout/webhook TIDAK dirombak -- cukup tambah resolusi kode referral opsional (kode salah/tidak cocok produk diabaikan diam-diam, checkout tetap jalan) dan cabang kredit ledger afiliator yang meniru pola pg_advisory_xact_lock milik kreator persis. Diverifikasi end-to-end nyata: validasi tolak email non-pengguna, undang diri sendiri, produk bukan milik kreator, persen &gt;100; satu afiliator bisa dapat komisi beda utk &gt;1 produk dgn 1 referral_code yang sama (dikonfirmasi dari sisi kreator &amp; sisi afiliator); checkout sungguhan ke Midtrans sandbox dgn ?ref= yang benar mengaitkan komisi (25.000 x 20% = 5.000, dikonfirmasi tersimpan di order), kode salah/tidak cocok produk diabaikan tanpa memblokir checkout. Webhook signature valid -&gt; ledger KREATOR terkredit (amount - platform_fee - komisi afiliasi) DAN ledger AFILIATOR terkredit persis sebesar komisinya dalam SATU transaksi atomik; retry webhook idempoten (tidak dobel kredit). Tautan ?ref= dari URL halaman publik dikonfirmasi mengalir sampai ke tombol Beli tiap produk lewat HTML SSR sungguhan. Ditemukan &amp; diperbaiki bug nyata saat verifikasi: mencabut afiliator gagal (500) karena FK orders.affiliate_id belum ON DELETE SET NULL -- histori order lama yang pernah pakai referral code memblokir penghapusan; diperbaiki agar affiliate_id di order lama jadi NULL saat dicabut sementara affiliate_commission_idr (snapshot angka) tetap tersimpan utuh.</t>
        </is>
      </c>
    </row>
    <row r="74">
      <c r="A74" s="22" t="n">
        <v>73</v>
      </c>
      <c r="B74" s="22" t="inlineStr">
        <is>
          <t>Sprint 8</t>
        </is>
      </c>
      <c r="C74" s="22" t="inlineStr">
        <is>
          <t>BE+FE</t>
        </is>
      </c>
      <c r="D74" s="23" t="inlineStr">
        <is>
          <t>Blok pengumpulan email/nomor WhatsApp pengunjung + Manajer Audiens (daftar subscriber per kreator, ekspor CSV)</t>
        </is>
      </c>
      <c r="E74" s="22" t="inlineStr">
        <is>
          <t>Lynk.id+Linktree</t>
        </is>
      </c>
      <c r="F74" s="13" t="inlineStr">
        <is>
          <t>Must</t>
        </is>
      </c>
      <c r="G74" s="14" t="inlineStr">
        <is>
          <t>Selesai</t>
        </is>
      </c>
      <c r="H74" s="22" t="n"/>
      <c r="I74" s="22" t="n">
        <v>3</v>
      </c>
      <c r="J74" s="23" t="inlineStr">
        <is>
          <t>Kedua platform sentralisasi semua lead (form, pembeli, subscribe-lock) ke satu Audience Manager yang bisa diekspor. Fondasi wajib sebelum broadcast WhatsApp (No.75) bisa jalan. -- SELESAI (24 Juli 2026): migrasi 000012_lead_capture (lead_capture_settings 1 baris per kreator + tabel subscribers dengan dedupe email lewat partial unique index). Blok pengumpulan tampil di halaman publik setelah blok Tautan (posisi sebelum Dukungan/Produk), field email/whatsapp bisa diaktifkan terpisah. Manajer Audiens (dashboard) MENGGABUNG dua sumber -- subscriber form DAN pembeli produk (dari orders yang lunas) -- lewat pencocokan email di sisi Go, orang yang sama tidak dobel baris kalau dia subscribe DAN pernah beli (sources jadi ["subscriber","buyer"]). Ekspor CSV di sisi browser (tanpa endpoint CSV terpisah). Subscribe-lock (kunci tautan di balik form) SENGAJA tidak dikerjakan -- fitur terpisah yang lebih besar, di luar estimasi 3 hari. Diverifikasi end-to-end nyata: validasi tolak judul kosong &amp; tidak pilih field apa pun; submit publik tolak kalau blok belum aktif, tolak kreator tidak ditemukan, tolak kalau email &amp; whatsapp kosong; submit sungguhan tersimpan &amp; muncul di Manajer Audiens; submit ulang email yang sama TIDAK bikin baris dobel (whatsapp_number ter-update, dikonfirmasi via query DB langsung); kontak yang subscribe DAN pernah beli (email sama) dikonfirmasi muncul SATU baris dengan kedua sumber; blok hilang dari halaman publik begitu dinonaktifkan (dikonfirmasi lewat HTML SSR sungguhan setelah cache Redis 30 detik &amp; fetch cache Next.js 60 detik kedaluwarsa -- staleness sementara ini konsisten dengan pola cache yang sudah ada di bundel/donasi/voucher, bukan bug baru).</t>
        </is>
      </c>
    </row>
    <row r="75">
      <c r="A75" s="15" t="n">
        <v>74</v>
      </c>
      <c r="B75" s="15" t="inlineStr">
        <is>
          <t>Sprint 8</t>
        </is>
      </c>
      <c r="C75" s="15" t="inlineStr">
        <is>
          <t>BE</t>
        </is>
      </c>
      <c r="D75" s="16" t="inlineStr">
        <is>
          <t>Kanal notifikasi WhatsApp untuk pembeli (lanjutan No.47 -- saat ini hanya kanal EMAIL yang selesai, WhatsApp belum diimplementasi sama sekali)</t>
        </is>
      </c>
      <c r="E75" s="15" t="inlineStr">
        <is>
          <t>Backlog internal No.47</t>
        </is>
      </c>
      <c r="F75" s="13" t="inlineStr">
        <is>
          <t>Must</t>
        </is>
      </c>
      <c r="G75" s="24" t="inlineStr">
        <is>
          <t>Belum Mulai</t>
        </is>
      </c>
      <c r="H75" s="15" t="n"/>
      <c r="I75" s="15" t="n">
        <v>2.5</v>
      </c>
      <c r="J75" s="16" t="inlineStr">
        <is>
          <t>Bukan temuan baru dari riset kompetitor, tapi gap lama yang jadi lebih mendesak karena kedua platform kompetitor andalkan WhatsApp sebagai kanal utama notifikasi pembeli Indonesia.</t>
        </is>
      </c>
    </row>
    <row r="76">
      <c r="A76" s="22" t="n">
        <v>75</v>
      </c>
      <c r="B76" s="22" t="inlineStr">
        <is>
          <t>Sprint 8</t>
        </is>
      </c>
      <c r="C76" s="22" t="inlineStr">
        <is>
          <t>BE+Ops</t>
        </is>
      </c>
      <c r="D76" s="23" t="inlineStr">
        <is>
          <t>WhatsApp blast/broadcast promosi ke daftar subscriber/pembeli</t>
        </is>
      </c>
      <c r="E76" s="22" t="inlineStr">
        <is>
          <t>Lynk.id</t>
        </is>
      </c>
      <c r="F76" s="17" t="inlineStr">
        <is>
          <t>Should</t>
        </is>
      </c>
      <c r="G76" s="24" t="inlineStr">
        <is>
          <t>Belum Mulai</t>
        </is>
      </c>
      <c r="H76" s="22" t="n"/>
      <c r="I76" s="22" t="n">
        <v>4</v>
      </c>
      <c r="J76" s="23" t="inlineStr">
        <is>
          <t>Fitur WhatsApp Blast Lynk.id (pairing nomor WA kreator sendiri ala WhatsApp Web, kirim promo+kode voucher). PERLU KEPUTUSAN BISNIS dulu: WhatsApp Business API resmi (butuh approval Meta, lebih mahal, lebih aman ToS) vs gateway tidak resmi (risiko nomor diblokir) -- jangan mulai coding sebelum ini diputuskan. -- UPDATE (verifikasi live Lynk.id): follow-up otomatis pasca-WhatsApp Blast ("Follow Up Text") tersedia sebagai fitur terpisah, hingga 10 template, TAPI hard-gated di belakang WhatsApp Blast yang sudah tersambung lebih dulu -- konfirmasi urutan pengerjaan: Blast dulu baru Follow Up Text.</t>
        </is>
      </c>
    </row>
    <row r="77">
      <c r="A77" s="15" t="n">
        <v>76</v>
      </c>
      <c r="B77" s="15" t="inlineStr">
        <is>
          <t>Sprint 8</t>
        </is>
      </c>
      <c r="C77" s="15" t="inlineStr">
        <is>
          <t>FE</t>
        </is>
      </c>
      <c r="D77" s="16" t="inlineStr">
        <is>
          <t>"X baru saja membeli produk ini" -- notifikasi social proof di halaman publik</t>
        </is>
      </c>
      <c r="E77" s="15" t="inlineStr">
        <is>
          <t>Lynk.id</t>
        </is>
      </c>
      <c r="F77" s="18" t="inlineStr">
        <is>
          <t>Could</t>
        </is>
      </c>
      <c r="G77" s="14" t="inlineStr">
        <is>
          <t>Selesai</t>
        </is>
      </c>
      <c r="H77" s="15" t="n"/>
      <c r="I77" s="15" t="n">
        <v>1</v>
      </c>
      <c r="J77" s="16" t="inlineStr">
        <is>
          <t>Fitur Social Proof Notifications Lynk.id (PRO). Murah dikerjakan, dampak konversi terbukti di industri e-commerce. -- UPDATE (verifikasi live Lynk.id, layar konfigurasi sungguhan dibuka langsung): durasi tampil (5/10/15 detik), interval sebelum notifikasi berikutnya (10/15/30/45/60 detik), cakupan per-produk atau semua produk, toggle terpisah untuk halaman produk vs halaman checkout, pilihan bahasa, dan email pembeli SELALU disamarkan sebagian di pesan (mis. "rumi****am@gmail.com telah membeli...") -- bukan ditampilkan penuh. -- SELESAI (25 Juli 2026): migrasi 000013_social_proof (1 baris pengaturan per kreator: is_active, show_on_product_page, show_on_checkout, display_seconds CHECK IN(5,10,15), interval_seconds CHECK IN(10,15,30,45,60)). Disederhanakan dari temuan riset Lynk.id sesuai prioritas Could &amp; estimasi 1 hari: cakupan per-produk granular jadi SATU toggle global per kreator (bukan pilih produk satu-satu), dan pilihan bahasa tidak dikerjakan (tetap Bahasa Indonesia). Yang dipertahankan: durasi tampil &amp; interval yang bisa diatur, toggle terpisah halaman produk vs checkout, email pembeli SELALU disamarkan sebagian (mis. "affi****al@example.com", meniru pola "rumi****am@gmail.com" dari verifikasi layar Lynk.id). Halaman checkout Jeonme tidak punya form pembayaran sendiri (redirect ke Midtrans Snap hosted page) -- "tampil di checkout" diadaptasi jadi tampil di halaman status pasca-pembayaran (satu-satunya halaman checkout yang benar-benar dimiliki Jeonme), dicatat sebagai penyesuaian dari desain asli Lynk.id. Diverifikasi end-to-end nyata: validasi tolak nilai display_seconds/interval_seconds di luar daftar yang diizinkan; halaman publik menampilkan pembelian nyata lintas produk dengan email tersamar benar (dicocokkan manual utk 4 email berbeda, semua match); halaman checkout menampilkan HANYA pembelian produk yang sama (bukan lintas produk, dikonfirmasi beda dari data halaman publik); toggle show_on_checkout &amp; show_on_product_page independen satu sama lain (nonaktifkan satu tidak memengaruhi yang lain); is_active=false menyembunyikan di KEDUA permukaan; markup toast dikonfirmasi benar via HTML SSR sungguhan (fixed bottom-left, mulai tersembunyi sebelum hydration client-side menjalankan animasi).</t>
        </is>
      </c>
    </row>
    <row r="78">
      <c r="A78" s="22" t="n">
        <v>77</v>
      </c>
      <c r="B78" s="22" t="inlineStr">
        <is>
          <t>Sprint 9</t>
        </is>
      </c>
      <c r="C78" s="22" t="inlineStr">
        <is>
          <t>BE+FE</t>
        </is>
      </c>
      <c r="D78" s="23" t="inlineStr">
        <is>
          <t>Blok tautan baru: video embed (YouTube/TikTok auto-embed), formulir kontak, FAQ/accordion</t>
        </is>
      </c>
      <c r="E78" s="22" t="inlineStr">
        <is>
          <t>Linktree+Lynk.id</t>
        </is>
      </c>
      <c r="F78" s="17" t="inlineStr">
        <is>
          <t>Should</t>
        </is>
      </c>
      <c r="G78" s="14" t="inlineStr">
        <is>
          <t>Selesai</t>
        </is>
      </c>
      <c r="H78" s="22" t="n"/>
      <c r="I78" s="22" t="n">
        <v>3</v>
      </c>
      <c r="J78" s="23" t="inlineStr">
        <is>
          <t>Saat ini Jeonme hanya punya tautan polos. Ketiga tipe blok ini paling sering dipakai di kedua platform berdasarkan katalog blok "Add new block". -- SELESAI (25 Juli 2026): migrasi 000017_content_blocks (kolom block_type VARCHAR default 'link' + block_data JSONB default '{}' di links). Blok baru dimodelkan sebagai baris links BIASA (pola identik bundel No.70) -- tampil TERCAMPUR dalam satu urutan yang sama dengan tautan biasa (drag-reorder yang sudah ada langsung berlaku), bukan seksi terpisah. Video embed dibatasi ke YouTube/TikTok saja (bukan iframe generik sembarang situs, demi keamanan) dengan deteksi otomatis format embed URL dari kedua platform (termasuk youtu.be &amp; /shorts/). Formulir kontak SENGAJA tanpa kustomisasi field (selalu nama/email/pesan) -- notifikasi ke kreator dikirim ASINKRON lewat queue.TypeContactFormNotification (worker terpisah), pengunjung tidak pernah menunggu SMTP. FAQ pakai accordion satu-terbuka-sekaligus. Diverifikasi end-to-end nyata: validasi tolak block_type tidak dikenal, video_url bukan YouTube/TikTok, FAQ tanpa item; ketiga blok dibuat sungguhan &amp; tampil BENAR TERCAMPUR di antara tautan biasa (posisi 3/4/5 setelah 3 tautan awal) di HTML SSR halaman publik (iframe TikTok dgn src benar, accordion FAQ, form kontak dgn field lengkap); submit ke blok bukan formulir kontak ditolak; submit sungguhan ke formulir kontak dikonfirmasi diproses worker &amp; email terkirim ke ALAMAT KREATOR (bukan pengunjung); edit isi blok (ganti video_url ke TikTok) lewat endpoint Update yang sudah ada tervalidasi &amp; tersimpan benar, tercermin di halaman publik.</t>
        </is>
      </c>
    </row>
    <row r="79">
      <c r="A79" s="15" t="n">
        <v>78</v>
      </c>
      <c r="B79" s="15" t="inlineStr">
        <is>
          <t>Sprint 9</t>
        </is>
      </c>
      <c r="C79" s="15" t="inlineStr">
        <is>
          <t>BE+FE</t>
        </is>
      </c>
      <c r="D79" s="16" t="inlineStr">
        <is>
          <t>Penjadwalan tautan (tautan otomatis tampil/sembunyi pada rentang tanggal &amp; waktu tertentu)</t>
        </is>
      </c>
      <c r="E79" s="15" t="inlineStr">
        <is>
          <t>Linktree</t>
        </is>
      </c>
      <c r="F79" s="18" t="inlineStr">
        <is>
          <t>Could</t>
        </is>
      </c>
      <c r="G79" s="14" t="inlineStr">
        <is>
          <t>Selesai</t>
        </is>
      </c>
      <c r="H79" s="15" t="n"/>
      <c r="I79" s="15" t="n">
        <v>1.5</v>
      </c>
      <c r="J79" s="16" t="inlineStr">
        <is>
          <t>Fitur Schedule links Linktree (Starter+). Berguna untuk promo musiman/preorder tanpa harus manual on/off. -- SELESAI (25 Juli 2026): migrasi 000015_link_scheduling (kolom starts_at/ends_at nullable di links). Pola identik penjadwalan flash sale produk (No.68): kedua kolom wajib diisi bersamaan, ends_at harus setelah starts_at, filter rentang waktu dihitung LIVE dari now() di query halaman publik (bukan cron), di ATAS gate is_active manual yang sudah ada -- keduanya harus lolos. UI dashboard meniru form datetime-local + tombol Batalkan milik flash sale persis. Diverifikasi end-to-end nyata: validasi tolak starts_at tanpa ends_at &amp; ends_at sebelum starts_at; tautan dengan jadwal MASA DEPAN tersembunyi dari halaman publik (dikonfirmasi tanggal server 25 Juli 2026); tautan dengan jadwal SUDAH LEWAT tetap tersembunyi; tautan dengan jadwal SEDANG BERLANGSUNG tampil benar (dikonfirmasi setelah cache Redis 30 detik kedaluwarsa); batalkan jadwal mengembalikan starts_at/ends_at ke NULL (tampil permanen lagi).</t>
        </is>
      </c>
    </row>
    <row r="80">
      <c r="A80" s="22" t="n">
        <v>79</v>
      </c>
      <c r="B80" s="22" t="inlineStr">
        <is>
          <t>Sprint 9</t>
        </is>
      </c>
      <c r="C80" s="22" t="inlineStr">
        <is>
          <t>BE+FE</t>
        </is>
      </c>
      <c r="D80" s="23" t="inlineStr">
        <is>
          <t>Kunci tautan (age lock/kode akses/wajib subscribe dulu sebelum tautan terbuka)</t>
        </is>
      </c>
      <c r="E80" s="22" t="inlineStr">
        <is>
          <t>Linktree</t>
        </is>
      </c>
      <c r="F80" s="18" t="inlineStr">
        <is>
          <t>Could</t>
        </is>
      </c>
      <c r="G80" s="14" t="inlineStr">
        <is>
          <t>Selesai</t>
        </is>
      </c>
      <c r="H80" s="22" t="n"/>
      <c r="I80" s="22" t="n">
        <v>2</v>
      </c>
      <c r="J80" s="23" t="inlineStr">
        <is>
          <t>3 dari 4 jenis link-lock Linktree yang relevan (skip NFT lock -- di luar konteks Jeonme). Subscribe-lock sekalian jadi sumber lead baru untuk Manajer Audiens (No.73). -- SELESAI (25 Juli 2026): migrasi 000016_link_lock (lock_type/lock_code/lock_min_age nullable/kosong di links). 3 jenis kunci sesuai scope (NFT lock di-skip): kode akses, konfirmasi usia (murni klik persetujuan, tanpa verifikasi identitas sungguhan -- konsisten dengan perilaku age-lock Linktree yang sebenarnya), dan wajib subscribe (INSERT ke tabel subscribers YANG SAMA dengan lead capture No.73, jadi benar-benar sumber lead baru untuk Manajer Audiens seperti dicatat). URL asli TIDAK PERNAH dikirim di payload halaman publik untuk tautan terkunci -- baru didapat lewat endpoint publik POST /links/:id/unlock setelah gerbang terlewati, dengan rate limit 15/menit (anti brute-force tebak kode). Diverifikasi end-to-end nyata: validasi tolak lock_type tanpa field pendukungnya &amp; lock_type tidak dikenal; ketiga jenis kunci diuji sungguhan (kode salah ditolak, kode benar &amp; usia &amp; subscribe semua mengembalikan URL asli yang benar); email dari subscribe-lock dikonfirmasi masuk tabel subscribers DAN muncul di endpoint Manajer Audiens (No.73); dikonfirmasi lewat HTML SSR sungguhan bahwa tautan terkunci dirender sebagai tombol gerbang (bukan &lt;a href&gt; langsung) sementara tautan tanpa kunci tetap &lt;a href&gt; normal; buka kunci (clear_lock) mengembalikan tautan ke keadaan normal.</t>
        </is>
      </c>
    </row>
    <row r="81">
      <c r="A81" s="15" t="n">
        <v>80</v>
      </c>
      <c r="B81" s="15" t="inlineStr">
        <is>
          <t>Sprint 9</t>
        </is>
      </c>
      <c r="C81" s="15" t="inlineStr">
        <is>
          <t>BE+FE</t>
        </is>
      </c>
      <c r="D81" s="16" t="inlineStr">
        <is>
          <t>Kustomisasi desain lanjutan (latar gambar/video kustom, pilihan font, warna tombol lebih granular) di luar 5 preset tema yang sudah ada</t>
        </is>
      </c>
      <c r="E81" s="15" t="inlineStr">
        <is>
          <t>Lynk.id+Linktree</t>
        </is>
      </c>
      <c r="F81" s="17" t="inlineStr">
        <is>
          <t>Should</t>
        </is>
      </c>
      <c r="G81" s="14" t="inlineStr">
        <is>
          <t>Selesai</t>
        </is>
      </c>
      <c r="H81" s="15" t="n"/>
      <c r="I81" s="15" t="n">
        <v>2.5</v>
      </c>
      <c r="J81" s="16" t="inlineStr">
        <is>
          <t>Kedua platform expose kustomisasi jauh lebih dalam dari preset saja (Lynk.id: background flat/gradient/gambar + 16 pilihan font + gaya tombol fill/outline/shadow terpisah dari warna tombol). -- SELESAI (25 Juli 2026): migrasi 000018_custom_theme (custom_background_type/value, custom_font, custom_button_color di pages). Theme "custom" jadi pilihan ke-6 di samping 5 preset. DISEDERHANAKAN dari temuan riset (16 pilihan font Lynk.id -&gt; 5 pilihan cukup beda karakter; gaya tombol fill/outline/shadow terpisah dari warna -&gt; tidak dikerjakan, hanya warna tombol; gradient latar -&gt; tidak dikerjakan, hanya solid/gambar) sesuai keterbatasan waktu utk estimasi 2.5 hari. Pendekatan teknis: warna/gambar latar &amp; warna tombol dipasang lewat CSS custom property (--custom-bg, --custom-button-bg) di elemen &lt;main&gt;, dirujuk oleh kelas Tailwind arbitrary-value (bg-[color:var(...)] / bg-[image:var(...)]) -- SENGAJA tidak meneruskan prop style baru ke tiap komponen tombol (BuyProductButton/LeadCaptureForm/ContactFormBlock/dst) karena custom property CSS otomatis mewarisi ke seluruh turunan DOM. Font tambahan (Playfair Display, Lora, Montserrat, Roboto Mono) dimuat via next/font/google sebagai CSS variable, dipilih lewat font-family inline di &lt;main&gt; juga. Diverifikasi end-to-end nyata: validasi tolak background_type/font/warna tombol yang tidak dikenal; tema custom (solid+Playfair+warna custom) tersimpan &amp; tercermin BENAR di style inline &lt;main&gt; HTML SSR sungguhan; ganti ke jenis latar gambar mengubah kelas &amp; nilai CSS var dengan benar; kembali ke preset (sunrise) mengembalikan kelas Tailwind statis TANPA sisa style inline apa pun.</t>
        </is>
      </c>
    </row>
    <row r="82">
      <c r="A82" s="22" t="n">
        <v>81</v>
      </c>
      <c r="B82" s="22" t="inlineStr">
        <is>
          <t>Sprint 9</t>
        </is>
      </c>
      <c r="C82" s="22" t="inlineStr">
        <is>
          <t>BE+FE</t>
        </is>
      </c>
      <c r="D82" s="23" t="inlineStr">
        <is>
          <t>Domain kustom untuk halaman kreator (kreator arahkan CNAME domain sendiri ke jeonme.com)</t>
        </is>
      </c>
      <c r="E82" s="22" t="inlineStr">
        <is>
          <t>Gap analysis (Linktree tidak punya sama sekali, Lynk.id fitur PRO)</t>
        </is>
      </c>
      <c r="F82" s="13" t="inlineStr">
        <is>
          <t>Must</t>
        </is>
      </c>
      <c r="G82" s="14" t="inlineStr">
        <is>
          <t>Selesai</t>
        </is>
      </c>
      <c r="H82" s="22" t="n"/>
      <c r="I82" s="22" t="n">
        <v>3</v>
      </c>
      <c r="J82" s="23" t="inlineStr">
        <is>
          <t>DIFERENSIATOR: Linktree eksplisit TIDAK menyediakan domain kustom maupun domain forwarding sama sekali (dikonfirmasi di help center mereka) -- ini peluang nyata Jeonme unggul dari kompetitor terbesar sekaligus menyamai fitur PRO Lynk.id. -- SELESAI (LINGKUP APLIKASI, 25 Juli 2026, per keputusan eksplisit pengguna): migrasi 000019_custom_domain (custom_domain, custom_domain_verified, custom_domain_token di pages + unique partial index). Backend baru CustomDomainHandler: Get/Set/Verify/Delete di dashboard (auth) + endpoint publik GET /domains/:domain/resolve dipakai proxy Next.js. Verifikasi kepemilikan domain memakai DUA record DNS wajib sekaligus (CNAME ke custom.jeonme.com DAN TXT _jeonme-verify.{domain} berisi token unik) -- CNAME saja tidak cukup karena siapa pun bisa mengarahkan CNAME tanpa benar-benar memiliki domainnya; TXT membuktikan kontrol DNS sungguhan. Domain hanya di-resolve ke username kalau custom_domain_verified=true DAN is_published=true. Next.js diimplementasikan lewat proxy.ts (bukan middleware.ts -- dikoreksi setelah build memberi peringatan deprecation Next.js 16) yang me-rewrite Host header tak dikenal ke /{username} lewat endpoint resolve publik di atas. Diverifikasi end-to-end nyata: validasi tolak format domain salah; konflik domain yang sudah dipakai kreator lain ditolak 409; endpoint Verify memberi pesan kegagalan yang tepat saat DNS belum diatur; endpoint resolve publik mengembalikan 404 seragam baik untuk domain belum-diverifikasi maupun domain yang benar-benar tidak terdaftar (tidak membocorkan status); setelah domain disimulasikan terverifikasi+halaman dipublikasikan, proxy.ts BENAR me-rewrite request ber-Host-header domain kustom ke halaman publik kreator yang tepat (dites langsung lewat curl -H Host terhadap dev server), sementara Host dikenal (jeonme.com dst.) dan Host tak cocok apa pun tetap berjalan seperti biasa tanpa terganggu. BELUM DIKERJAKAN (sengaja ditunda, bagian infrastruktur produksi): konfigurasi Apache/reverse-proxy supaya Host header domain kustom sungguhan benar-benar sampai ke container Jeonme, dan otomasi sertifikat SSL per domain (mis. Certbot) -- keduanya butuh domain uji nyata yang diarahkan ke server produksi, dicatat sebagai pekerjaan lanjutan begitu ada domain uji yang tersedia. Halaman dashboard sudah mencantumkan disclaimer ini secara eksplisit ke pengguna.</t>
        </is>
      </c>
    </row>
    <row r="83">
      <c r="A83" s="15" t="n">
        <v>82</v>
      </c>
      <c r="B83" s="15" t="inlineStr">
        <is>
          <t>Sprint 9</t>
        </is>
      </c>
      <c r="C83" s="15" t="inlineStr">
        <is>
          <t>FE+BE</t>
        </is>
      </c>
      <c r="D83" s="16" t="inlineStr">
        <is>
          <t>QR code otomatis per halaman kreator (untuk materi promosi offline)</t>
        </is>
      </c>
      <c r="E83" s="15" t="inlineStr">
        <is>
          <t>Linktree+Lynk.id</t>
        </is>
      </c>
      <c r="F83" s="17" t="inlineStr">
        <is>
          <t>Should</t>
        </is>
      </c>
      <c r="G83" s="14" t="inlineStr">
        <is>
          <t>Selesai</t>
        </is>
      </c>
      <c r="H83" s="15" t="n"/>
      <c r="I83" s="15" t="n">
        <v>1</v>
      </c>
      <c r="J83" s="16" t="inlineStr">
        <is>
          <t>Fitur murah, dampak besar untuk kreator yang promosi offline (banner event, kemasan produk, dsb). -- SELESAI (25 Juli 2026): fitur MURNI sisi klien, tanpa endpoint backend sama sekali -- URL halaman publik (jeonme.com/{username}) sudah diketahui dari data yang ada. Ditambahkan sebagai tombol "Kode QR" di chip "Halaman publikmu" (sidebar dashboard, di semua halaman), membuka modal dengan QRCodeCanvas (paket qrcode.react, dipilih atas paket qrcode karena zero-dependency selain React, tidak menyeret yargs/CLI cruft yang tidak relevan untuk pemakaian browser) + tombol Unduh PNG (canvas.toDataURL). Verifikasi: typecheck &amp; build produksi berhasil, prop API qrcode.react dicocokkan langsung ke definisi tipenya. CATATAN JUJUR: tidak ada browser/Puppeteer tersedia sesi ini untuk memindai QR sungguhan atau mengonfirmasi unduhan PNG bekerja visual di browser nyata -- verifikasi terbatas pada kebenaran kode (tipe, build, API paket), bukan pengujian visual end-to-end. Risiko rendah (paket mapan, banyak dipakai).</t>
        </is>
      </c>
    </row>
    <row r="84">
      <c r="A84" s="22" t="n">
        <v>83</v>
      </c>
      <c r="B84" s="22" t="inlineStr">
        <is>
          <t>Sprint 9</t>
        </is>
      </c>
      <c r="C84" s="22" t="inlineStr">
        <is>
          <t>FE+BE</t>
        </is>
      </c>
      <c r="D84" s="23" t="inlineStr">
        <is>
          <t>Meta SEO kustom per halaman (judul/deskripsi custom) + toggle indexing mesin pencari</t>
        </is>
      </c>
      <c r="E84" s="22" t="inlineStr">
        <is>
          <t>Lynk.id</t>
        </is>
      </c>
      <c r="F84" s="18" t="inlineStr">
        <is>
          <t>Could</t>
        </is>
      </c>
      <c r="G84" s="14" t="inlineStr">
        <is>
          <t>Selesai</t>
        </is>
      </c>
      <c r="H84" s="22" t="n"/>
      <c r="I84" s="22" t="n">
        <v>1</v>
      </c>
      <c r="J84" s="23" t="inlineStr">
        <is>
          <t>Jeonme sudah punya OG tags (No.32) -- ini melengkapi dengan kontrol judul/deskripsi manual + opsi noindex untuk kreator yang mau halamannya privat dari pencarian Google. -- SELESAI (25 Juli 2026): migrasi 000014_page_seo (3 kolom di pages: seo_title VARCHAR(70), seo_description VARCHAR(160), noindex BOOLEAN). Judul/deskripsi manual MENGGANTIKAN default kalau diisi (fallback ke pola lama @username/bio kalau kosong), melengkapi OG tags No.32 yang sudah ada. noindex=true menghasilkan &lt;meta name="robots" content="noindex, nofollow"&gt; lewat Next.js Metadata API. Diverifikasi end-to-end nyata: validasi tolak seo_title &gt;70 karakter; judul/deskripsi kustom tersimpan &amp; muncul benar di &lt;title&gt; dan &lt;meta name="description"&gt;/&lt;meta property="og:title"&gt; HTML SSR sungguhan; toggle noindex menghasilkan meta robots yang tepat di HTML SSR sungguhan; reset ke default (kosong) kembali memakai fallback lama.</t>
        </is>
      </c>
    </row>
    <row r="85">
      <c r="A85" s="15" t="n">
        <v>84</v>
      </c>
      <c r="B85" s="15" t="inlineStr">
        <is>
          <t>Sprint 10</t>
        </is>
      </c>
      <c r="C85" s="15" t="inlineStr">
        <is>
          <t>BE</t>
        </is>
      </c>
      <c r="D85" s="16" t="inlineStr">
        <is>
          <t>Verifikasi rekening (KYC dasar) sebagai syarat pencairan instan</t>
        </is>
      </c>
      <c r="E85" s="15" t="inlineStr">
        <is>
          <t>Lynk.id</t>
        </is>
      </c>
      <c r="F85" s="13" t="inlineStr">
        <is>
          <t>Must</t>
        </is>
      </c>
      <c r="G85" s="14" t="inlineStr">
        <is>
          <t>Selesai</t>
        </is>
      </c>
      <c r="H85" s="15" t="n"/>
      <c r="I85" s="15" t="n">
        <v>3</v>
      </c>
      <c r="J85" s="16" t="inlineStr">
        <is>
          <t>Melanjutkan catatan No.51 ("rekening TIDAK diverifikasi"). Di Lynk.id, akun ter-KYC dapat pencairan instan sementara akun belum terverifikasi tertahan -- pola yang sama bisa diterapkan Jeonme untuk kurangi risiko fraud penarikan. -- UPDATE (verifikasi live Lynk.id lewat FAQ resmi mereka): checklist KYC lengkap -- nama di KTP harus sama persis dengan nama rekening bank, selfie sambil pegang KTP, bukti buku tabungan/e-statement, alamat domisili lengkap, penjelasan bisnis+kanal promosi, halaman sudah punya minimal 1 produk aktif, SLA review 3x24 jam hari kerja. Verifikasi ini SEKALIGUS membuka 3 hal: pencairan instan, partisipasi affiliate publik, dan fitur pembayaran personal ("PaymeLynk"). CATATAN TAMBAHAN: Lynk.id juga baru menambah langkah "Bank Account Revalidation" terpisah (April 2026) di atas KYC awal -- kemungkinan besar dorongan kepatuhan PSP/regulasi, bukan sekadar fitur produk. Akun BELUM terverifikasi tetap bisa jualan &amp; tarik dana, hanya lebih lambat (2 hari kerja) -- desain Jeonme sebaiknya ikuti pola ini (jangan blokir total, hanya perlambat). -- SELESAI (25 Juli 2026): migrasi 000020_kyc_verification (tabel kyc_verifications: status unverified/pending/verified/rejected, data KTP/rekening/domisili/bisnis/kanal promosi, 3 key file dokumen; kolom payouts.kyc_status_at_request untuk snapshot). Backend baru KycHandler: kreator submit (multipart: 5 field teks + foto KTP + foto selfie + bukti rekening, validasi wajib halaman sudah punya &gt;=1 produk aktif persis seperti checklist Lynk.id), admin list/detail (URL presigned 15 menit ke tiap dokumen)/approve-reject dengan alasan penolakan wajib. SESUAI ARAHAN RISET: TIDAK memblokir penjualan/penarikan sama sekali untuk akun belum terverifikasi -- status KYC hanya dicatat sebagai SNAPSHOT di setiap pengajuan penarikan (bukan live join, supaya riwayat lama tidak berubah kalau status berubah belakangan) dan dipakai admin untuk memprioritaskan antrian proses manual (ORDER BY verified DESC, lalu requested_at ASC) -- pola ini eksplisit meniru catatan Lynk.id sendiri ("akun belum terverifikasi tetap bisa jualan &amp; tarik dana, hanya lebih lambat"). TIDAK mengerjakan "Bank Account Revalidation" terpisah ala Lynk.id (langkah tambahan April 2026 mereka) maupun integrasi Disbursement API otomatis (proses pencairan tetap 100% manual admin, belum berubah dari Sprint 4). Diverifikasi end-to-end nyata: pengajuan ditolak kalau belum ada produk aktif; diterima &amp; berubah ke status pending setelah produk aktif dibuat; pengajuan ulang ditolak selama masih pending; endpoint admin diblokir untuk non-admin (403); daftar admin menampilkan pengajuan pending; presigned URL dokumen BENAR bisa diunduh (file yang diunggah sungguhan berhasil diambil kembali); penolakan tanpa alasan ditolak validasi; persetujuan berhasil mengubah status ke verified; persetujuan kedua kali ditolak (409, sudah final); pengajuan penarikan SETELAH verified BENAR menyimpan snapshot kyc_status_at_request='verified' dan tampil diprioritaskan lebih dulu di daftar admin dibanding pengajuan lain yang lebih baru tapi belum terverifikasi.</t>
        </is>
      </c>
    </row>
    <row r="86">
      <c r="A86" s="22" t="n">
        <v>85</v>
      </c>
      <c r="B86" s="22" t="inlineStr">
        <is>
          <t>Sprint 10</t>
        </is>
      </c>
      <c r="C86" s="22" t="inlineStr">
        <is>
          <t>BE</t>
        </is>
      </c>
      <c r="D86" s="23" t="inlineStr">
        <is>
          <t>Watermark otomatis pada file digital terjual (email+ID transaksi pembeli disisipkan ke file)</t>
        </is>
      </c>
      <c r="E86" s="22" t="inlineStr">
        <is>
          <t>Lynk.id</t>
        </is>
      </c>
      <c r="F86" s="18" t="inlineStr">
        <is>
          <t>Could</t>
        </is>
      </c>
      <c r="G86" s="14" t="inlineStr">
        <is>
          <t>Selesai</t>
        </is>
      </c>
      <c r="H86" s="22" t="n"/>
      <c r="I86" s="22" t="n">
        <v>1.5</v>
      </c>
      <c r="J86" s="23" t="inlineStr">
        <is>
          <t>Fitur Custom Watermark Lynk.id (PRO) -- anti-pembajakan/pelacakan kebocoran file. Realistis hanya untuk file PDF dulu (paling mudah disisipi watermark terprogram). -- UPDATE (verifikasi live Lynk.id, layar konfigurasi sungguhan dibuka langsung): sumber teks watermark bisa email pembeli ATAU teks custom, posisi (tengah/atas/bawah), ukuran (kecil/sedang/besar), slider opacity (default 50%), dengan preview posisi langsung di layar. CATATAN PENTING dari Lynk.id sendiri: watermark HANYA berfungsi untuk PDF yang tidak dikunci password -- file yang sudah diproteksi password tidak bisa diberi watermark. -- SELESAI (25 Juli 2026): migrasi 000021_watermark (kolom products.watermark_enabled, default false). Backend memakai pustaka pdfcpu (Apache-2.0, murni Go, tanpa dependensi native) untuk menyisipkan watermark teks langsung di memori (io.ReadSeeker/io.Writer, tanpa sentuh disk) -- posisi tengah-bawah, opacity 35%, abu-abu, ukuran kecil (TETAP, bukan bisa diatur kreator seperti Lynk.id PRO yang punya pilihan posisi/ukuran/opacity/preview langsung -- disederhanakan sesuai estimasi 1.5 hari). Teks watermark otomatis "email pembeli | ID pesanan" (Lynk.id memberi pilihan email vs teks custom, di sini disederhanakan jadi format tetap). Toggle per-produk di /dashboard/products, HANYA bisa diaktifkan kalau file produk berformat .pdf (ditolak untuk tipe lain, sesuai batasan Lynk.id sendiri: "watermark HANYA berfungsi untuk PDF yang tidak dikunci password" -- Jeonme tidak pernah mengenkripsi file produk jadi syarat itu otomatis terpenuhi). Watermark diproses ON-DEMAND setiap unduhan pembeli (file asli TIDAK PERNAH diubah -- disalin ke key terpisah "watermarked/{order_id}/..." sebelum di-presign), jadi mengubah toggle langsung berlaku untuk unduhan berikutnya tanpa migrasi data. Bundel (No.70) ikut kebagian -- tiap produk DI DALAM bundel punya toggle watermark sendiri-sendiri karena tetap baris products biasa. Diverifikasi end-to-end nyata: watermark ditolak untuk file non-PDF; berhasil aktif untuk file PDF; unduhan pembeli (order status=paid) BENAR menghasilkan salinan ber-watermark yang bisa dibuka &amp; watermark-nya terlihat SECARA VISUAL berisi email pembeli + ID pesanan yang tepat (diverifikasi dengan membuka PDF hasil unduhan langsung); file ASLI di key penyimpanan produk terbukti byte-per-byte TIDAK BERUBAH; menonaktifkan toggle langsung membuat unduhan berikutnya kembali ke file asli tanpa watermark.</t>
        </is>
      </c>
    </row>
    <row r="87">
      <c r="A87" s="15" t="n">
        <v>86</v>
      </c>
      <c r="B87" s="15" t="inlineStr">
        <is>
          <t>Sprint 10</t>
        </is>
      </c>
      <c r="C87" s="15" t="inlineStr">
        <is>
          <t>BE+FE</t>
        </is>
      </c>
      <c r="D87" s="16" t="inlineStr">
        <is>
          <t>Analitik lanjutan: filter rentang tanggal kustom, breakdown perangkat &amp; lokasi pengunjung, ekspor CSV</t>
        </is>
      </c>
      <c r="E87" s="15" t="inlineStr">
        <is>
          <t>Linktree+Lynk.id</t>
        </is>
      </c>
      <c r="F87" s="17" t="inlineStr">
        <is>
          <t>Should</t>
        </is>
      </c>
      <c r="G87" s="14" t="inlineStr">
        <is>
          <t>Sebagian Selesai</t>
        </is>
      </c>
      <c r="H87" s="15" t="n"/>
      <c r="I87" s="15" t="n">
        <v>3</v>
      </c>
      <c r="J87" s="16" t="inlineStr">
        <is>
          <t>Analitik Jeonme saat ini (No.56/57) baru total view/klik + tren 30 hari + produk terlaris + referrer. Kedua kompetitor jauh lebih dalam (device/lokasi/rentang custom/CSV export). -- SEBAGIAN SELESAI (25 Juli 2026): filter rentang tanggal kustom (from/to bebas, bukan cuma preset 7/30/90 hari, maksimum 366 hari sekali tarik), breakdown PERANGKAT pengunjung (mobile/desktop/tablet, diklasifikasi dari header User-Agent yang sudah ada di tiap request -- tanpa dependensi baru), dan ekspor CSV (deret harian kunjungan+klik untuk rentang yang dipilih) SUDAH SELESAI &amp; diverifikasi nyata (migrasi 000022_analytics_device menambah kolom device_type; endpoint GET /dashboard/analytics/summary menerima ?from=&amp;to= ATAU ?range_days=; GET /dashboard/analytics/export mengunduh file .csv sungguhan). BELUM DIKERJAKAN: breakdown LOKASI (negara/kota) pengunjung -- ini butuh geo-IP (basis data MaxMind GeoLite2 yang perlu akun+lisensi gratis, ATAU API pihak ketiga berbayar/rate-limited seperti ip-api.com/ipapi.co) yang belum ada keputusan produk/kredensial untuk itu, situasinya mirip blocker WhatsApp Business API (No.74/75) -- BUKAN sesuatu yang bisa diasumsikan sepihak karena menyangkut pilihan vendor &amp; kemungkinan biaya berlangganan. Menunggu keputusan pengguna sebelum dikerjakan, dicatat sebagai pekerjaan lanjutan. -- KEPUTUSAN FINAL (25 Juli 2026, pengguna): breakdown lokasi TIDAK dikerjakan sama sekali, bukan lagi sekadar ditunda -- biaya/akun vendor geo-IP dianggap tidak sepadan untuk saat ini, breakdown perangkat (mobile/desktop/tablet) sudah dianggap cukup mewakili nilai fitur ini. Sisa lingkup No.86 (rentang tanggal kustom, breakdown perangkat, ekspor CSV) SELESAI sepenuhnya sebagaimana tercatat di atas.</t>
        </is>
      </c>
    </row>
    <row r="88">
      <c r="A88" s="22" t="n">
        <v>87</v>
      </c>
      <c r="B88" s="22" t="inlineStr">
        <is>
          <t>Sprint 10</t>
        </is>
      </c>
      <c r="C88" s="22" t="inlineStr">
        <is>
          <t>BE+FE</t>
        </is>
      </c>
      <c r="D88" s="23" t="inlineStr">
        <is>
          <t>Manajemen tim/multi-admin untuk kreator (undang kolaborator dengan akses terbatas ke halaman/produknya)</t>
        </is>
      </c>
      <c r="E88" s="22" t="inlineStr">
        <is>
          <t>Linktree+Lynk.id</t>
        </is>
      </c>
      <c r="F88" s="18" t="inlineStr">
        <is>
          <t>Could</t>
        </is>
      </c>
      <c r="G88" s="14" t="inlineStr">
        <is>
          <t>Selesai</t>
        </is>
      </c>
      <c r="H88" s="22" t="n"/>
      <c r="I88" s="22" t="n">
        <v>2.5</v>
      </c>
      <c r="J88" s="23" t="inlineStr">
        <is>
          <t>Berguna untuk kreator yang pakai jasa admin/tim kecil (fitur Admin Invites Linktree &amp; Multi Admin Lynk.id, keduanya paid-tier). -- SELESAI (25 Juli 2026): migrasi 000023_collaborators (undangan lewat email, 3 flag izin tetap: can_edit_links/can_edit_products/can_edit_design, status invited/active/revoked). Pendekatan teknis kunci: middleware baru ActAsOwner (backend) dipasang HANYA pada 3 sub-grup rute dashboard (tautan+blok, produk+voucher+bundel+donasi+afiliasi, halaman/desain) -- membaca header X-Act-As-Owner, memvalidasi kolaborator AKTIF dengan flag izin terkait, lalu MENGGANTI userID di context request ke ID pemilik SEBELUM diteruskan ke handler yang sudah ada, sehingga TIDAK PERLU mengubah satu pun handler yang sudah ada satu per satu. Saldo/penarikan/verifikasi KYC/hapus akun/domain kustom/audiens SENGAJA TIDAK dipasangi middleware ini SAMA SEKALI -- bukan cuma soal validasi izin, tapi batas ARSITEKTUR: kolaborator tidak mungkin menjangkau rute itu lewat mekanisme ini walau ketiga izinnya di-set true sekalipun. Tidak ada pengiriman EMAIL undangan (belum ada wiring mailer utk ini) -- kolaborator menemukan undangan lewat daftar "Undangan untuk Saya" di /dashboard/team miliknya sendiri, dicocokkan lewat alamat email akun. DISEDERHANAKAN dari kompetitor: 3 flag tetap, bukan sistem permission granular per-endpoint. Diverifikasi end-to-end nyata dengan 2 akun sungguhan (pemilik + kolaborator): undangan dibuat &amp; tampil di daftar "Undangan untuk Saya" kolaborator; act-as-owner DITOLAK 403 sebelum undangan diterima; setelah diterima, kolaborator BENAR bisa membuat produk ATAS NAMA pemilik (diverifikasi langsung lewat query database bahwa produk baru user_id-nya adalah pemilik, BUKAN kolaborator); akses ke izin yang TIDAK diberikan (desain) ditolak 403; akses ke saldo &amp; KYC BENAR SELALU mengembalikan data milik kolaborator sendiri (bukan pemilik) walau header X-Act-As-Owner disertakan -- membuktikan batas arsitektur berfungsi, bukan cuma validasi izin yang bisa salah konfigurasi; mencabut akses BENAR langsung memblokir act-as-owner berikutnya (403) tanpa jeda.</t>
        </is>
      </c>
    </row>
    <row r="89">
      <c r="A89" s="15" t="n">
        <v>88</v>
      </c>
      <c r="B89" s="15" t="inlineStr">
        <is>
          <t>Sprint 10</t>
        </is>
      </c>
      <c r="C89" s="15" t="inlineStr">
        <is>
          <t>FE</t>
        </is>
      </c>
      <c r="D89" s="16" t="inlineStr">
        <is>
          <t>Badge terverifikasi untuk kreator (syarat: profil lengkap + email terverifikasi + minimal 1 transaksi sukses)</t>
        </is>
      </c>
      <c r="E89" s="15" t="inlineStr">
        <is>
          <t>Linktree</t>
        </is>
      </c>
      <c r="F89" s="18" t="inlineStr">
        <is>
          <t>Could</t>
        </is>
      </c>
      <c r="G89" s="14" t="inlineStr">
        <is>
          <t>Selesai</t>
        </is>
      </c>
      <c r="H89" s="15" t="n"/>
      <c r="I89" s="15" t="n">
        <v>1</v>
      </c>
      <c r="J89" s="16" t="inlineStr">
        <is>
          <t>Sinyal kepercayaan murah untuk pembeli, memakai data yang sudah ada di sistem (tidak perlu proses manual review seperti Linktree). -- SELESAI (25 Juli 2026): TIDAK BUTUH migrasi/tabel baru sama sekali -- is_verified dihitung LANGSUNG dari data yang sudah ada (email_verified_at pada users, bio+avatar_url pada pages, EXISTS order status='paid' milik kreator), sesuai catatan riset: sinyal kepercayaan murah, TANPA proses review manual seperti Linktree. Ditambahkan ke publicPageResponse (halaman publik) dan myPageResponse (dashboard, dalam bentuk objek verification dengan 3 flag terpisah supaya dashboard bisa menunjukkan progres "2/3 syarat" bukan cuma boolean tunggal). Badge tampil sebagai ikon centang di sebelah @username, dipakai bersama oleh halaman publik &amp; panel pratinjau langsung dashboard (satu komponen PagePreview). Diverifikasi end-to-end nyata dengan progres bertahap: kondisi awal ketiga syarat false; mengisi bio SAJA belum cukup (profil belum lengkap, benar menuntut bio DAN foto profil); menambah foto profil membuat profile_complete true tapi is_verified masih false (2 syarat lain belum terpenuhi); memverifikasi email lewat kolom email_verified_at membuat email_verified true; menambah 1 order status='paid' sungguhan membuat has_paid_order true DAN is_verified akhirnya true; dikonfirmasi tampil di endpoint halaman publik SUNGGUHAN (bukan cuma dashboard) DAN benar-benar dirender di HTML SSR halaman publik (elemen dengan title "Kreator terverifikasi" muncul di markup).</t>
        </is>
      </c>
    </row>
    <row r="90">
      <c r="A90" s="22" t="n">
        <v>89</v>
      </c>
      <c r="B90" s="22" t="inlineStr">
        <is>
          <t>Sprint 10</t>
        </is>
      </c>
      <c r="C90" s="22" t="inlineStr">
        <is>
          <t>BE+FE</t>
        </is>
      </c>
      <c r="D90" s="23" t="inlineStr">
        <is>
          <t>Transparansi biaya per metode pembayaran ke kreator (rincian potongan QRIS/VA/e-wallet sebelum checkout &amp; di ringkasan saldo)</t>
        </is>
      </c>
      <c r="E90" s="22" t="inlineStr">
        <is>
          <t>Lynk.id</t>
        </is>
      </c>
      <c r="F90" s="17" t="inlineStr">
        <is>
          <t>Should</t>
        </is>
      </c>
      <c r="G90" s="14" t="inlineStr">
        <is>
          <t>Selesai</t>
        </is>
      </c>
      <c r="H90" s="22" t="n"/>
      <c r="I90" s="22" t="n">
        <v>1.5</v>
      </c>
      <c r="J90" s="23" t="inlineStr">
        <is>
          <t>Lynk.id menampilkan tabel biaya per channel secara eksplisit ke penjual (mis. QRIS 0.70%, VA flat Rp3-4rb). Jeonme saat ini memotong platform_fee_idr flat tanpa rincian per channel pembayaran ke kreator. -- SELESAI (25 Juli 2026): BUG NYATA ditemukan &amp; diperbaiki sekalian -- payments.method SEBELUMNYA selalu diisi literal 'snap' (nama widget checkout Midtrans, BUKAN kanal pembayaran sesungguhnya), payload webhook Midtrans TIDAK PERNAH menangkap field payment_type asli (qris/bank_transfer/gopay/shopeepay/credit_card) sama sekali sejak awal. Endpoint baru GET /dashboard/balance/fee-breakdown mengembalikan DUA bagian: "reference" (tabel estimasi umum per kanal, PLACEHOLDER bisnis mirip status minPayoutIDR -- sumber angka dari riset publik Lynk.id, TIDAK dipakai untuk menghitung platform_fee_idr sungguhan di mana pun, murni edukasi) dan "actual" (rincian NYATA dari transaksi lunas kreator, dikelompokkan per kanal ASLI yang dipilih pembeli, dihitung dari data payments.method+orders.platform_fee_idr sungguhan). Ditampilkan di halaman Saldo &amp; Penarikan ("ringkasan saldo" sesuai permintaan) -- TIDAK ditambahkan ke halaman checkout pembeli (rincian biaya platform adalah informasi untuk KREATOR, bukan pembeli). platform_fee_idr SENGAJA TETAP flat (PlatformFeePercent) -- mengubah jadi tarif berbeda per kanal adalah keputusan bisnis/kontrak Midtrans yang belum ada datanya, di luar cakupan perbaikan transparansi ini. Diverifikasi end-to-end nyata: breakdown kosong menampilkan tabel referensi tanpa data aktual untuk akun baru; 3 transaksi lunas simulasi (2 QRIS + 1 GoPay) BENAR terkelompok &amp; terjumlah tepat; webhook Midtrans SUNGGUHAN (payload bertanda tangan valid, payment_type="bank_transfer") BENAR menyimpan method='bank_transfer' di payments (BUKAN lagi 'snap') DAN langsung tampil di breakdown; ledger crediting (saldo dikreditkan amount-fee) dipastikan TIDAK REGRESI setelah perubahan query INSERT payments.</t>
        </is>
      </c>
    </row>
    <row r="91">
      <c r="A91" s="15" t="n">
        <v>90</v>
      </c>
      <c r="B91" s="15" t="inlineStr">
        <is>
          <t>Sprint 11</t>
        </is>
      </c>
      <c r="C91" s="15" t="inlineStr">
        <is>
          <t>BE+FE</t>
        </is>
      </c>
      <c r="D91" s="16" t="inlineStr">
        <is>
          <t>Blok Event (tiket berbayar dengan tanggal/waktu/zona waktu, kuota peserta)</t>
        </is>
      </c>
      <c r="E91" s="15" t="inlineStr">
        <is>
          <t>Lynk.id</t>
        </is>
      </c>
      <c r="F91" s="18" t="inlineStr">
        <is>
          <t>Could</t>
        </is>
      </c>
      <c r="G91" s="24" t="inlineStr">
        <is>
          <t>Belum Mulai</t>
        </is>
      </c>
      <c r="H91" s="15" t="n"/>
      <c r="I91" s="15" t="n">
        <v>3</v>
      </c>
      <c r="J91" s="16" t="inlineStr">
        <is>
          <t>Fitur Event block Lynk.id -- ticketing sederhana untuk event online/offline, dijual seperti produk biasa lewat mesin checkout yang sudah ada.</t>
        </is>
      </c>
    </row>
    <row r="92">
      <c r="A92" s="22" t="n">
        <v>91</v>
      </c>
      <c r="B92" s="22" t="inlineStr">
        <is>
          <t>Sprint 11</t>
        </is>
      </c>
      <c r="C92" s="22" t="inlineStr">
        <is>
          <t>BE+FE</t>
        </is>
      </c>
      <c r="D92" s="23" t="inlineStr">
        <is>
          <t>Blok Kelas/Kursus video (materi per bab, prasyarat, deskripsi pembelajaran)</t>
        </is>
      </c>
      <c r="E92" s="22" t="inlineStr">
        <is>
          <t>Lynk.id</t>
        </is>
      </c>
      <c r="F92" s="18" t="inlineStr">
        <is>
          <t>Could</t>
        </is>
      </c>
      <c r="G92" s="24" t="inlineStr">
        <is>
          <t>Belum Mulai</t>
        </is>
      </c>
      <c r="H92" s="22" t="n"/>
      <c r="I92" s="22" t="n">
        <v>4</v>
      </c>
      <c r="J92" s="23" t="inlineStr">
        <is>
          <t>Fitur Course Video Lynk.id &amp; Digital Products/Courses Linktree. Perluasan natural dari produk digital yang sudah ada (file upload) jadi terstruktur per-bab.</t>
        </is>
      </c>
    </row>
    <row r="93">
      <c r="A93" s="15" t="n">
        <v>92</v>
      </c>
      <c r="B93" s="15" t="inlineStr">
        <is>
          <t>Sprint 11</t>
        </is>
      </c>
      <c r="C93" s="15" t="inlineStr">
        <is>
          <t>BE+FE</t>
        </is>
      </c>
      <c r="D93" s="16" t="inlineStr">
        <is>
          <t>Booking konsultasi berbayar dengan sinkronisasi Google Calendar</t>
        </is>
      </c>
      <c r="E93" s="15" t="inlineStr">
        <is>
          <t>Lynk.id+Linktree</t>
        </is>
      </c>
      <c r="F93" s="18" t="inlineStr">
        <is>
          <t>Could</t>
        </is>
      </c>
      <c r="G93" s="24" t="inlineStr">
        <is>
          <t>Belum Mulai</t>
        </is>
      </c>
      <c r="H93" s="15" t="n"/>
      <c r="I93" s="15" t="n">
        <v>4</v>
      </c>
      <c r="J93" s="16" t="inlineStr">
        <is>
          <t>Fitur Bookings (Linktree, gratis di semua tier) &amp; Appointment (Lynk.id). Butuh integrasi Google Calendar API (OAuth terpisah dari login) untuk cegah bentrok jadwal.</t>
        </is>
      </c>
    </row>
    <row r="94">
      <c r="A94" s="22" t="n">
        <v>93</v>
      </c>
      <c r="B94" s="22" t="inlineStr">
        <is>
          <t>Sprint 12</t>
        </is>
      </c>
      <c r="C94" s="22" t="inlineStr">
        <is>
          <t>BE+FE</t>
        </is>
      </c>
      <c r="D94" s="23" t="inlineStr">
        <is>
          <t>Dukungan produk fisik (varian, berat/dimensi, ongkir per kurir Indonesia seperti JNE/SiCepat/J&amp;T, area pengiriman per provinsi)</t>
        </is>
      </c>
      <c r="E94" s="22" t="inlineStr">
        <is>
          <t>Lynk.id</t>
        </is>
      </c>
      <c r="F94" s="18" t="inlineStr">
        <is>
          <t>Could</t>
        </is>
      </c>
      <c r="G94" s="24" t="inlineStr">
        <is>
          <t>Belum Mulai</t>
        </is>
      </c>
      <c r="H94" s="22" t="n"/>
      <c r="I94" s="22" t="n">
        <v>5</v>
      </c>
      <c r="J94" s="23" t="inlineStr">
        <is>
          <t>Fitur commerce terdalam Lynk.id (listing 20 kategori, kalkulasi ongkir, banyak kurir). CATATAN PENTING: ini perluasan besar di luar fokus awal Jeonme sebagai platform produk DIGITAL kreator -- menambah kompleksitas logistik/fulfillment signifikan (integrasi ongkir, pelacakan pengiriman, retur). Validasi permintaan pasar dulu sebelum dikerjakan, jangan asumsikan otomatis dibutuhkan.</t>
        </is>
      </c>
    </row>
    <row r="95">
      <c r="A95" s="15" t="n">
        <v>94</v>
      </c>
      <c r="B95" s="15" t="inlineStr">
        <is>
          <t>Sprint 13</t>
        </is>
      </c>
      <c r="C95" s="15" t="inlineStr">
        <is>
          <t>BE+FE</t>
        </is>
      </c>
      <c r="D95" s="16" t="inlineStr">
        <is>
          <t>Program poin loyalitas + katalog reward yang bisa ditukar (poin dari pembelian, persentase/nominal, syarat minimum pembelian)</t>
        </is>
      </c>
      <c r="E95" s="15" t="inlineStr">
        <is>
          <t>Lynk.id</t>
        </is>
      </c>
      <c r="F95" s="17" t="inlineStr">
        <is>
          <t>Should</t>
        </is>
      </c>
      <c r="G95" s="24" t="inlineStr">
        <is>
          <t>Belum Mulai</t>
        </is>
      </c>
      <c r="H95" s="15" t="n"/>
      <c r="I95" s="15" t="n">
        <v>3</v>
      </c>
      <c r="J95" s="16" t="inlineStr">
        <is>
          <t>Diverifikasi langsung di akun Lynk.id sungguhan ("Member Point System"): tipe poin Percentage/Percentage-with-Limit/Nominal/Nominal-with-Limit + field Min Purchase, dan halaman Reward Management terpisah (katalog reward: Value/Valid Date/Points Needed/Redeemed/Publish). Cocok disandingkan dengan voucher (No.67) sebagai mekanisme retensi pembeli berulang.</t>
        </is>
      </c>
    </row>
    <row r="96">
      <c r="A96" s="25" t="n">
        <v>95</v>
      </c>
      <c r="B96" s="25" t="inlineStr">
        <is>
          <t>Sprint 13</t>
        </is>
      </c>
      <c r="C96" s="25" t="inlineStr">
        <is>
          <t>BE+FE</t>
        </is>
      </c>
      <c r="D96" s="26" t="inlineStr">
        <is>
          <t>Kartu kontak digital/NFC (QR code + Apple/Google Wallet, kreator bisa terima kontak balik dari pengunjung yang scan)</t>
        </is>
      </c>
      <c r="E96" s="25" t="inlineStr">
        <is>
          <t>Linktree</t>
        </is>
      </c>
      <c r="F96" s="18" t="inlineStr">
        <is>
          <t>Could</t>
        </is>
      </c>
      <c r="G96" s="24" t="inlineStr">
        <is>
          <t>Belum Mulai</t>
        </is>
      </c>
      <c r="H96" s="25" t="n"/>
      <c r="I96" s="25" t="n">
        <v>2.5</v>
      </c>
      <c r="J96" s="26" t="inlineStr">
        <is>
          <t>Ditemukan lewat tur live dashboard Linktree sungguhan (bukan cuma dokumentasi publik) -- fitur "Business Cards" beneran menghasilkan QR code + Apple Wallet pass, dengan toggle "Let visitors share their details back" yang mengumpulkan nama/email pengunjung yang scan balik. Beda dari kunci tautan (No.79) -- ini pertukaran kontak DUA ARAH, bukan gerbang akses konten.</t>
        </is>
      </c>
    </row>
    <row r="97">
      <c r="A97" s="15" t="n">
        <v>96</v>
      </c>
      <c r="B97" s="15" t="inlineStr">
        <is>
          <t>Sprint 13</t>
        </is>
      </c>
      <c r="C97" s="15" t="inlineStr">
        <is>
          <t>BE+FE</t>
        </is>
      </c>
      <c r="D97" s="16" t="inlineStr">
        <is>
          <t>Asisten analitik berbasis AI (chat tanya-jawab bahasa natural atas data analitik milik kreator sendiri)</t>
        </is>
      </c>
      <c r="E97" s="15" t="inlineStr">
        <is>
          <t>Linktree</t>
        </is>
      </c>
      <c r="F97" s="18" t="inlineStr">
        <is>
          <t>Could</t>
        </is>
      </c>
      <c r="G97" s="24" t="inlineStr">
        <is>
          <t>Belum Mulai</t>
        </is>
      </c>
      <c r="H97" s="15" t="n"/>
      <c r="I97" s="15" t="n">
        <v>3</v>
      </c>
      <c r="J97" s="16" t="inlineStr">
        <is>
          <t>Ditemukan lewat tur live dashboard Linktree -- panel "Ask Linktree AI" aktif secara default di tab Insight dengan prompt siap pakai ("Where is my traffic coming from?", dst). CATATAN: hitung dulu biaya API LLM per-query sebelum komit -- jangan asumsikan gratis seperti fitur analitik biasa (No.86).</t>
        </is>
      </c>
    </row>
    <row r="98">
      <c r="A98" s="25" t="n">
        <v>97</v>
      </c>
      <c r="B98" s="25" t="inlineStr">
        <is>
          <t>Sprint 7</t>
        </is>
      </c>
      <c r="C98" s="25" t="inlineStr">
        <is>
          <t>UX+FE</t>
        </is>
      </c>
      <c r="D98" s="26" t="inlineStr">
        <is>
          <t>Redesain information architecture dashboard kreator: gabungkan navigasi jadi 6 bagian besar (Ringkasan, Halaman Saya, Produk &amp; Monetisasi, Audiens &amp; Pemasaran, Saldo &amp; Penarikan, Pengaturan)</t>
        </is>
      </c>
      <c r="E98" s="25" t="inlineStr">
        <is>
          <t>Sintesis gabungan Linktree+Lynk.id (lihat sheet 'UX Gabungan Jeonme')</t>
        </is>
      </c>
      <c r="F98" s="13" t="inlineStr">
        <is>
          <t>Must</t>
        </is>
      </c>
      <c r="G98" s="14" t="inlineStr">
        <is>
          <t>Selesai</t>
        </is>
      </c>
      <c r="H98" s="25" t="n"/>
      <c r="I98" s="25" t="n">
        <v>4</v>
      </c>
      <c r="J98" s="26" t="inlineStr">
        <is>
          <t>KERJAKAN DULUAN sebelum item lain di Sprint 7-10 supaya fitur baru (voucher/afiliasi/audiens/dsb) langsung masuk ke IA yang benar, bukan ditempel di struktur lama. Linktree pisah Links/Shop/Design jadi tab beda-beda dan nyembunyiin Settings di menu 'More'; Lynk.id sebar fitur commerce ke banyak sidebar terpisah (Voucher/Affiliates/Settings&gt;Store Management) -- keduanya butuh banyak klik untuk hal yang buat kreator terasa satu kesatuan. Jeonme gabung jadi 6 bagian: Ringkasan (analitik), Halaman Saya (tautan+produk+desain+preview), Produk &amp; Monetisasi (voucher/bundel/afiliasi/poin), Audiens &amp; Pemasaran (lead+WhatsApp+social proof), Saldo &amp; Penarikan (sudah ada), Pengaturan (domain/SEO/tim/watermark). -- SELESAI (23-24 Juli 2026): sidebar direstrukturisasi jadi 6 bagian, verifikasi end-to-end lolos di lokal &amp; staging (commit ec343e8, tag v0.12.0).</t>
        </is>
      </c>
    </row>
    <row r="99">
      <c r="A99" s="22" t="n">
        <v>98</v>
      </c>
      <c r="B99" s="22" t="inlineStr">
        <is>
          <t>Sprint 14</t>
        </is>
      </c>
      <c r="C99" s="22" t="inlineStr">
        <is>
          <t>BE+FE</t>
        </is>
      </c>
      <c r="D99" s="23" t="inlineStr">
        <is>
          <t>Dukungan multi-halaman bio per akun kreator</t>
        </is>
      </c>
      <c r="E99" s="22" t="inlineStr">
        <is>
          <t>Linktree ("Your Pages")</t>
        </is>
      </c>
      <c r="F99" s="18" t="inlineStr">
        <is>
          <t>Could</t>
        </is>
      </c>
      <c r="G99" s="24" t="inlineStr">
        <is>
          <t>Belum Mulai</t>
        </is>
      </c>
      <c r="H99" s="22" t="n"/>
      <c r="I99" s="22" t="n">
        <v>4</v>
      </c>
      <c r="J99" s="23" t="inlineStr">
        <is>
          <t>Diverifikasi live: 1 akun bisa punya beberapa halaman bio terpisah (masing-masing URL sendiri). Berguna untuk kreator yang kelola beberapa brand/proyek dari satu akun. Belum prioritas -- Jeonme masih fokus perkuat 1 halaman per kreator dulu.</t>
        </is>
      </c>
    </row>
    <row r="100">
      <c r="A100" s="25" t="n">
        <v>99</v>
      </c>
      <c r="B100" s="25" t="inlineStr">
        <is>
          <t>Sprint 14</t>
        </is>
      </c>
      <c r="C100" s="25" t="inlineStr">
        <is>
          <t>BE+FE</t>
        </is>
      </c>
      <c r="D100" s="26" t="inlineStr">
        <is>
          <t>Builder landing page dengan AI generate, terpisah dari halaman bio utama</t>
        </is>
      </c>
      <c r="E100" s="25" t="inlineStr">
        <is>
          <t>Linktree ("Landing Pages", label NEW)</t>
        </is>
      </c>
      <c r="F100" s="18" t="inlineStr">
        <is>
          <t>Could</t>
        </is>
      </c>
      <c r="G100" s="24" t="inlineStr">
        <is>
          <t>Belum Mulai</t>
        </is>
      </c>
      <c r="H100" s="25" t="n"/>
      <c r="I100" s="25" t="n">
        <v>5</v>
      </c>
      <c r="J100" s="26" t="inlineStr">
        <is>
          <t>Diverifikasi live: fitur baru Linktree, tombol 'Create with AI' untuk generate draft halaman landing lengkap. Ini lebih ke arah website builder daripada link-in-bio -- scope besar &amp; tangensial dari fokus Jeonme, dicatat sebagai ide masa depan bukan prioritas sekarang.</t>
        </is>
      </c>
    </row>
  </sheetData>
  <autoFilter ref="A1:J64"/>
  <conditionalFormatting sqref="G2:G64">
    <cfRule type="cellIs" priority="1" operator="equal" dxfId="0">
      <formula>"Selesai"</formula>
    </cfRule>
    <cfRule type="cellIs" priority="2" operator="equal" dxfId="1">
      <formula>"Dikerjakan"</formula>
    </cfRule>
    <cfRule type="cellIs" priority="3" operator="equal" dxfId="2">
      <formula>"Belum Mulai"</formula>
    </cfRule>
    <cfRule type="cellIs" priority="4" operator="equal" dxfId="3">
      <formula>"Blocked"</formula>
    </cfRule>
  </conditionalFormatting>
  <dataValidations count="2">
    <dataValidation sqref="G2:G64" showDropDown="0" showInputMessage="0" showErrorMessage="0" allowBlank="1" error="Pilih dari daftar: Belum Mulai, Dikerjakan, Review, Selesai, Blocked" type="list">
      <formula1>"Belum Mulai,Dikerjakan,Review,Selesai,Blocked"</formula1>
    </dataValidation>
    <dataValidation sqref="F2:F64" showDropDown="0" showInputMessage="0" showErrorMessage="0" allowBlank="1" type="list">
      <formula1>"Must,Should,Could"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2" customWidth="1" min="3" max="3"/>
    <col width="28" customWidth="1" min="4" max="4"/>
    <col width="55" customWidth="1" min="5" max="5"/>
    <col width="14" customWidth="1" min="6" max="6"/>
    <col width="45" customWidth="1" min="7" max="7"/>
  </cols>
  <sheetData>
    <row r="1">
      <c r="A1" s="27" t="inlineStr">
        <is>
          <t>No</t>
        </is>
      </c>
      <c r="B1" s="27" t="inlineStr">
        <is>
          <t>Menu Utama</t>
        </is>
      </c>
      <c r="C1" s="27" t="inlineStr">
        <is>
          <t>Sub-menu / Fitur</t>
        </is>
      </c>
      <c r="D1" s="27" t="inlineStr">
        <is>
          <t>Fungsi</t>
        </is>
      </c>
      <c r="E1" s="27" t="inlineStr">
        <is>
          <t>Alur Kerja (Workflow)</t>
        </is>
      </c>
      <c r="F1" s="27" t="inlineStr">
        <is>
          <t>Verifikasi</t>
        </is>
      </c>
      <c r="G1" s="27" t="inlineStr">
        <is>
          <t>Insight untuk Jeonme</t>
        </is>
      </c>
    </row>
    <row r="2">
      <c r="A2" s="28" t="n">
        <v>1</v>
      </c>
      <c r="B2" s="28" t="inlineStr">
        <is>
          <t>My Linktree</t>
        </is>
      </c>
      <c r="C2" s="28" t="inlineStr">
        <is>
          <t>Links</t>
        </is>
      </c>
      <c r="D2" s="28" t="inlineStr">
        <is>
          <t>Kelola daftar tautan halaman publik</t>
        </is>
      </c>
      <c r="E2" s="28" t="inlineStr">
        <is>
          <t>Klik "+ Add" -&gt; pilih kategori (Collection/Link/Product/Form) -&gt; isi detail -&gt; tautan muncul di list, bisa drag-reorder &amp; toggle aktif/nonaktif -&gt; otomatis tampil di preview kanan</t>
        </is>
      </c>
      <c r="F2" s="28" t="inlineStr">
        <is>
          <t>Live (akun asli)</t>
        </is>
      </c>
      <c r="G2" s="28" t="inlineStr">
        <is>
          <t>Jeonme sudah punya versi dasar ini (dashboard/links). Pembeda: kategori 'Collection' (grup tautan jadi carousel) &amp; 'Form' belum ada di Jeonme.</t>
        </is>
      </c>
    </row>
    <row r="3">
      <c r="A3" s="29" t="n">
        <v>2</v>
      </c>
      <c r="B3" s="29" t="inlineStr">
        <is>
          <t>My Linktree</t>
        </is>
      </c>
      <c r="C3" s="29" t="inlineStr">
        <is>
          <t>Shop</t>
        </is>
      </c>
      <c r="D3" s="29" t="inlineStr">
        <is>
          <t>Kurasi produk (link eksternal atau produk sendiri) sebagai etalase terpisah dari daftar tautan</t>
        </is>
      </c>
      <c r="E3" s="29" t="inlineStr">
        <is>
          <t>Toggle "Publish your Shop" -&gt; klik "+Add" -&gt; tempel link produk (dari mana saja) atau pilih dari akun terhubung (IG/TikTok/YouTube/Email) -&gt; produk tampil grid terpisah, ada tab "Affiliate Products" untuk produk komisi</t>
        </is>
      </c>
      <c r="F3" s="29" t="inlineStr">
        <is>
          <t>Live (akun asli)</t>
        </is>
      </c>
      <c r="G3" s="29" t="inlineStr">
        <is>
          <t>Beda dari Produk Jeonme (selalu file sendiri) -- ini kurasi link produk APA SAJA, termasuk punya orang lain (mode afiliasi).</t>
        </is>
      </c>
    </row>
    <row r="4">
      <c r="A4" s="28" t="n">
        <v>3</v>
      </c>
      <c r="B4" s="28" t="inlineStr">
        <is>
          <t>My Linktree</t>
        </is>
      </c>
      <c r="C4" s="28" t="inlineStr">
        <is>
          <t>Design</t>
        </is>
      </c>
      <c r="D4" s="28" t="inlineStr">
        <is>
          <t>Kustomisasi visual halaman publik</t>
        </is>
      </c>
      <c r="E4" s="28" t="inlineStr">
        <is>
          <t>Pilih Theme preset -&gt; override manual per elemen: Header/Wallpaper/Buttons/Text(font)/Colors/Stickers/Footer, tiap satu buka panel sendiri, preview update langsung di kanan</t>
        </is>
      </c>
      <c r="F4" s="28" t="inlineStr">
        <is>
          <t>Live (akun asli)</t>
        </is>
      </c>
      <c r="G4" s="28" t="inlineStr">
        <is>
          <t>Struktur 'satu tema besar + override manual per elemen' lebih rapi daripada preset kaku Jeonme (5 tema tanpa override) -- selaras dengan No.80.</t>
        </is>
      </c>
    </row>
    <row r="5">
      <c r="A5" s="29" t="n">
        <v>4</v>
      </c>
      <c r="B5" s="29" t="inlineStr">
        <is>
          <t>Earn</t>
        </is>
      </c>
      <c r="C5" s="29" t="inlineStr">
        <is>
          <t>Overview</t>
        </is>
      </c>
      <c r="D5" s="29" t="inlineStr">
        <is>
          <t>Ringkasan semua fitur monetisasi (Shops/Sponsored Links/Brand Deals/Rewards)</t>
        </is>
      </c>
      <c r="E5" s="29" t="inlineStr">
        <is>
          <t>Buka tab -&gt; kalau negara/tier tidak eligible, halaman kosong isinya cuma 'Got ideas? Share feedback' -- fitur di baliknya TIDAK muncul sama sekali (bukan sekadar terkunci)</t>
        </is>
      </c>
      <c r="F5" s="29" t="inlineStr">
        <is>
          <t>Live (kosong u/ akun ID)</t>
        </is>
      </c>
      <c r="G5" s="29" t="inlineStr">
        <is>
          <t>Konfirmasi geo-gating -- akun Indonesia asli TIDAK melihat Shops/Sponsored Links/Brand Deals/Rewards sama sekali.</t>
        </is>
      </c>
    </row>
    <row r="6">
      <c r="A6" s="28" t="n">
        <v>5</v>
      </c>
      <c r="B6" s="28" t="inlineStr">
        <is>
          <t>Earn</t>
        </is>
      </c>
      <c r="C6" s="28" t="inlineStr">
        <is>
          <t>Earnings</t>
        </is>
      </c>
      <c r="D6" s="28" t="inlineStr">
        <is>
          <t>Saldo pendapatan dari monetisasi</t>
        </is>
      </c>
      <c r="E6" s="28" t="inlineStr">
        <is>
          <t>Halaman saldo sederhana, $0.00 untuk akun ini (belum pernah dapat komisi)</t>
        </is>
      </c>
      <c r="F6" s="28" t="inlineStr">
        <is>
          <t>Live (akun asli)</t>
        </is>
      </c>
      <c r="G6" s="28" t="inlineStr">
        <is>
          <t>-</t>
        </is>
      </c>
    </row>
    <row r="7">
      <c r="A7" s="29" t="n">
        <v>6</v>
      </c>
      <c r="B7" s="29" t="inlineStr">
        <is>
          <t>Audience</t>
        </is>
      </c>
      <c r="C7" s="29" t="inlineStr">
        <is>
          <t>Contacts</t>
        </is>
      </c>
      <c r="D7" s="29" t="inlineStr">
        <is>
          <t>Kumpulkan &amp; kelola subscriber/lead pengunjung</t>
        </is>
      </c>
      <c r="E7" s="29" t="inlineStr">
        <is>
          <t>Toggle "Turn on Subscribe" -&gt; pengunjung isi email/nomor di halaman publik -&gt; masuk daftar Contacts -&gt; bisa broadcast manual. Panel "Tools to grow your audience": Collect subscribers/Create contact form/Create digital download/Offer paid bookings/Offer discount codes</t>
        </is>
      </c>
      <c r="F7" s="29" t="inlineStr">
        <is>
          <t>Live (akun asli)</t>
        </is>
      </c>
      <c r="G7" s="29" t="inlineStr">
        <is>
          <t>Jeonme belum punya sistem lead-capture/audience manager sama sekali -- selaras dengan No.73.</t>
        </is>
      </c>
    </row>
    <row r="8">
      <c r="A8" s="28" t="n">
        <v>7</v>
      </c>
      <c r="B8" s="28" t="inlineStr">
        <is>
          <t>Audience</t>
        </is>
      </c>
      <c r="C8" s="28" t="inlineStr">
        <is>
          <t>Integrations</t>
        </is>
      </c>
      <c r="D8" s="28" t="inlineStr">
        <is>
          <t>Sambungkan tool email eksternal (Mailchimp dll)</t>
        </is>
      </c>
      <c r="E8" s="28" t="inlineStr">
        <is>
          <t>Tab terpisah, belum sempat dibuka isinya</t>
        </is>
      </c>
      <c r="F8" s="28" t="inlineStr">
        <is>
          <t>Belum dibuka</t>
        </is>
      </c>
      <c r="G8" s="28" t="inlineStr">
        <is>
          <t>-</t>
        </is>
      </c>
    </row>
    <row r="9">
      <c r="A9" s="29" t="n">
        <v>8</v>
      </c>
      <c r="B9" s="29" t="inlineStr">
        <is>
          <t>Insights</t>
        </is>
      </c>
      <c r="C9" s="29" t="inlineStr">
        <is>
          <t>(halaman utama)</t>
        </is>
      </c>
      <c r="D9" s="29" t="inlineStr">
        <is>
          <t>Analitik halaman</t>
        </is>
      </c>
      <c r="E9" s="29" t="inlineStr">
        <is>
          <t>Buka tab -&gt; ringkasan Views/Clicks (filter tanggal) + panel chat "Ask Linktree AI" di kanan (bisa tanya bahasa natural, mis. "Where is my traffic coming from?") -&gt; scroll: Social follower growth/Most engaging posts (perlu connect akun sosial)/Most clicked links/Linktree visitors</t>
        </is>
      </c>
      <c r="F9" s="29" t="inlineStr">
        <is>
          <t>Live (akun asli)</t>
        </is>
      </c>
      <c r="G9" s="29" t="inlineStr">
        <is>
          <t>Analitik Jeonme (No.86) masih dasar -- AI chat assistant (No.96) &amp; breakdown follower growth per-platform ini pembeda besar.</t>
        </is>
      </c>
    </row>
    <row r="10">
      <c r="A10" s="28" t="n">
        <v>9</v>
      </c>
      <c r="B10" s="28" t="inlineStr">
        <is>
          <t>Tools</t>
        </is>
      </c>
      <c r="C10" s="28" t="inlineStr">
        <is>
          <t>Business cards</t>
        </is>
      </c>
      <c r="D10" s="28" t="inlineStr">
        <is>
          <t>Kartu kontak digital NFC/QR untuk kreator sendiri (bukan produk)</t>
        </is>
      </c>
      <c r="E10" s="28" t="inlineStr">
        <is>
          <t>Atur nama tampilan+warna kartu -&gt; sistem generate QR+Apple Wallet pass otomatis -&gt; pengunjung scan -&gt; simpan kontak kreator, dan (kalau toggle "share details back" aktif) balas kirim kontak mereka</t>
        </is>
      </c>
      <c r="F10" s="28" t="inlineStr">
        <is>
          <t>Live (akun asli)</t>
        </is>
      </c>
      <c r="G10" s="28" t="inlineStr">
        <is>
          <t>Fitur baru sama sekali buat Jeonme -- sudah masuk backlog No.95.</t>
        </is>
      </c>
    </row>
    <row r="11">
      <c r="A11" s="29" t="n">
        <v>10</v>
      </c>
      <c r="B11" s="29" t="inlineStr">
        <is>
          <t>Tools</t>
        </is>
      </c>
      <c r="C11" s="29" t="inlineStr">
        <is>
          <t>Social planner</t>
        </is>
      </c>
      <c r="D11" s="29" t="inlineStr">
        <is>
          <t>Jadwalkan &amp; auto-post konten sosial lintas platform</t>
        </is>
      </c>
      <c r="E11" s="29" t="inlineStr">
        <is>
          <t>Connect akun sosial -&gt; compose post + generate caption AI -&gt; jadwalkan/cross-post ke IG/TikTok/FB/LinkedIn/Threads/YouTube -&gt; post baru di IG otomatis ke-sync jadi blok di halaman Linktree</t>
        </is>
      </c>
      <c r="F11" s="29" t="inlineStr">
        <is>
          <t>Live (belum diaktifkan)</t>
        </is>
      </c>
      <c r="G11" s="29" t="inlineStr">
        <is>
          <t>DI LUAR SCOPE inti Jeonme (bukan link-in-bio/monetisasi, lebih ke social media management) -- SENGAJA TIDAK dimasukkan ke backlog.</t>
        </is>
      </c>
    </row>
    <row r="12">
      <c r="A12" s="28" t="n">
        <v>11</v>
      </c>
      <c r="B12" s="28" t="inlineStr">
        <is>
          <t>Tools</t>
        </is>
      </c>
      <c r="C12" s="28" t="inlineStr">
        <is>
          <t>Instagram auto-reply</t>
        </is>
      </c>
      <c r="D12" s="28" t="inlineStr">
        <is>
          <t>Auto-DM saat ada komentar dengan kata kunci tertentu</t>
        </is>
      </c>
      <c r="E12" s="28" t="inlineStr">
        <is>
          <t>Connect Instagram -&gt; atur kata kunci pemicu per-postingan -&gt; sistem otomatis balas komentar + kirim DM berisi tautan</t>
        </is>
      </c>
      <c r="F12" s="28" t="inlineStr">
        <is>
          <t>Live (belum connect)</t>
        </is>
      </c>
      <c r="G12" s="28" t="inlineStr">
        <is>
          <t>Butuh Instagram Graph API resmi (approval Meta) -- kompleksitas &amp; risiko tinggi. SENGAJA TIDAK dimasukkan ke backlog aktif, dicatat sebagai ide masa depan.</t>
        </is>
      </c>
    </row>
    <row r="13">
      <c r="A13" s="29" t="n">
        <v>12</v>
      </c>
      <c r="B13" s="29" t="inlineStr">
        <is>
          <t>Tools</t>
        </is>
      </c>
      <c r="C13" s="29" t="inlineStr">
        <is>
          <t>Link shortener</t>
        </is>
      </c>
      <c r="D13" s="29" t="inlineStr">
        <is>
          <t>Perpendek &amp; lacak link apa saja (bukan cuma di halaman Linktree)</t>
        </is>
      </c>
      <c r="E13" s="29" t="inlineStr">
        <is>
          <t>Tempel URL panjang -&gt; dapat short link tr.ee/xxx + QR code otomatis -&gt; statistik klik/pengunjung unik terpisah dari Insights utama</t>
        </is>
      </c>
      <c r="F13" s="29" t="inlineStr">
        <is>
          <t>Live (akun asli)</t>
        </is>
      </c>
      <c r="G13" s="29" t="inlineStr">
        <is>
          <t>QR sudah masuk backlog (No.82), tapi versi Linktree ini berdiri sendiri (bisa dipakai utk link APA SAJA).</t>
        </is>
      </c>
    </row>
    <row r="14">
      <c r="A14" s="28" t="n">
        <v>13</v>
      </c>
      <c r="B14" s="28" t="inlineStr">
        <is>
          <t>Tools</t>
        </is>
      </c>
      <c r="C14" s="28" t="inlineStr">
        <is>
          <t>Post ideas</t>
        </is>
      </c>
      <c r="D14" s="28" t="inlineStr">
        <is>
          <t>Generator ide caption/konten sosial pakai AI</t>
        </is>
      </c>
      <c r="E14" s="28" t="inlineStr">
        <is>
          <t>Klik "Generate ideas" -&gt; AI kasih hook/topik trending sesuai industri kreator</t>
        </is>
      </c>
      <c r="F14" s="28" t="inlineStr">
        <is>
          <t>Live (akun asli)</t>
        </is>
      </c>
      <c r="G14" s="28" t="inlineStr">
        <is>
          <t>Sama seperti Social planner, di luar scope inti -- SENGAJA TIDAK dimasukkan ke backlog.</t>
        </is>
      </c>
    </row>
    <row r="15">
      <c r="A15" s="29" t="n">
        <v>14</v>
      </c>
      <c r="B15" s="29" t="inlineStr">
        <is>
          <t>More</t>
        </is>
      </c>
      <c r="C15" s="29" t="inlineStr">
        <is>
          <t>Settings</t>
        </is>
      </c>
      <c r="D15" s="29" t="inlineStr">
        <is>
          <t>Pengaturan umum akun</t>
        </is>
      </c>
      <c r="E15" s="29" t="inlineStr">
        <is>
          <t>Belum sempat dibuka (diblokir sistem keamanan internal kita sendiri saat riset)</t>
        </is>
      </c>
      <c r="F15" s="29" t="inlineStr">
        <is>
          <t>Diblokir (riset)</t>
        </is>
      </c>
      <c r="G15" s="29" t="inlineStr">
        <is>
          <t>-</t>
        </is>
      </c>
    </row>
    <row r="16">
      <c r="A16" s="28" t="n">
        <v>15</v>
      </c>
      <c r="B16" s="28" t="inlineStr">
        <is>
          <t>More</t>
        </is>
      </c>
      <c r="C16" s="28" t="inlineStr">
        <is>
          <t>Account</t>
        </is>
      </c>
      <c r="D16" s="28" t="inlineStr">
        <is>
          <t>Info akun/profil pemilik</t>
        </is>
      </c>
      <c r="E16" s="28" t="inlineStr">
        <is>
          <t>Belum sempat dibuka (sama, diblokir)</t>
        </is>
      </c>
      <c r="F16" s="28" t="inlineStr">
        <is>
          <t>Diblokir (riset)</t>
        </is>
      </c>
      <c r="G16" s="28" t="inlineStr">
        <is>
          <t>-</t>
        </is>
      </c>
    </row>
    <row r="17">
      <c r="A17" s="29" t="n">
        <v>16</v>
      </c>
      <c r="B17" s="29" t="inlineStr">
        <is>
          <t>More</t>
        </is>
      </c>
      <c r="C17" s="29" t="inlineStr">
        <is>
          <t>Billing</t>
        </is>
      </c>
      <c r="D17" s="29" t="inlineStr">
        <is>
          <t>Info tagihan/kartu pembayaran langganan</t>
        </is>
      </c>
      <c r="E17" s="29" t="inlineStr">
        <is>
          <t>Belum sempat dibuka (data finansial sensitif, diblokir)</t>
        </is>
      </c>
      <c r="F17" s="29" t="inlineStr">
        <is>
          <t>Diblokir (riset)</t>
        </is>
      </c>
      <c r="G17" s="29" t="inlineStr">
        <is>
          <t>-</t>
        </is>
      </c>
    </row>
    <row r="18">
      <c r="A18" s="28" t="n">
        <v>17</v>
      </c>
      <c r="B18" s="28" t="inlineStr">
        <is>
          <t>More</t>
        </is>
      </c>
      <c r="C18" s="28" t="inlineStr">
        <is>
          <t>Cookie preferences</t>
        </is>
      </c>
      <c r="D18" s="28" t="inlineStr">
        <is>
          <t>Kontrol consent cookie pelacakan</t>
        </is>
      </c>
      <c r="E18" s="28" t="inlineStr">
        <is>
          <t>Terlihat sbg menu item, isinya belum dibuka</t>
        </is>
      </c>
      <c r="F18" s="28" t="inlineStr">
        <is>
          <t>Nama saja</t>
        </is>
      </c>
      <c r="G18" s="28" t="inlineStr">
        <is>
          <t>Mirip consent GDPR yang Jeonme sudah punya (No.60).</t>
        </is>
      </c>
    </row>
    <row r="19">
      <c r="A19" s="29" t="n">
        <v>18</v>
      </c>
      <c r="B19" s="29" t="inlineStr">
        <is>
          <t>More</t>
        </is>
      </c>
      <c r="C19" s="29" t="inlineStr">
        <is>
          <t>Support (Ask a question / Help topics / Share feedback)</t>
        </is>
      </c>
      <c r="D19" s="29" t="inlineStr">
        <is>
          <t>Bantuan &amp; dukungan pengguna</t>
        </is>
      </c>
      <c r="E19" s="29" t="inlineStr">
        <is>
          <t>Redirect ke help.linktr.ee eksternal</t>
        </is>
      </c>
      <c r="F19" s="29" t="inlineStr">
        <is>
          <t>Live (link saja)</t>
        </is>
      </c>
      <c r="G19" s="29" t="inlineStr">
        <is>
          <t>-</t>
        </is>
      </c>
    </row>
    <row r="20">
      <c r="A20" s="28" t="n">
        <v>19</v>
      </c>
      <c r="B20" s="28" t="inlineStr">
        <is>
          <t>(Dokumentasi publik)</t>
        </is>
      </c>
      <c r="C20" s="28" t="inlineStr">
        <is>
          <t>Link locks, penjadwalan tautan, badge terverifikasi, Workspaces, Marketplace integrasi, MFA/2FA</t>
        </is>
      </c>
      <c r="D20" s="28" t="inlineStr">
        <is>
          <t>Berbagai fitur lanjutan yang dijelaskan di help-center publik Linktree, belum dikonfirmasi live di akun ini</t>
        </is>
      </c>
      <c r="E20" s="28" t="inlineStr">
        <is>
          <t>Lihat laporan riset awal untuk detail per-fitur</t>
        </is>
      </c>
      <c r="F20" s="28" t="inlineStr">
        <is>
          <t>Dokumentasi publik</t>
        </is>
      </c>
      <c r="G20" s="28" t="inlineStr">
        <is>
          <t>Sudah masuk backlog No.78, 79, 87, 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2" customWidth="1" min="3" max="3"/>
    <col width="30" customWidth="1" min="4" max="4"/>
    <col width="60" customWidth="1" min="5" max="5"/>
    <col width="14" customWidth="1" min="6" max="6"/>
    <col width="45" customWidth="1" min="7" max="7"/>
  </cols>
  <sheetData>
    <row r="1">
      <c r="A1" s="27" t="inlineStr">
        <is>
          <t>No</t>
        </is>
      </c>
      <c r="B1" s="27" t="inlineStr">
        <is>
          <t>Menu Utama</t>
        </is>
      </c>
      <c r="C1" s="27" t="inlineStr">
        <is>
          <t>Sub-menu / Fitur</t>
        </is>
      </c>
      <c r="D1" s="27" t="inlineStr">
        <is>
          <t>Fungsi</t>
        </is>
      </c>
      <c r="E1" s="27" t="inlineStr">
        <is>
          <t>Alur Kerja (Workflow)</t>
        </is>
      </c>
      <c r="F1" s="27" t="inlineStr">
        <is>
          <t>Verifikasi</t>
        </is>
      </c>
      <c r="G1" s="27" t="inlineStr">
        <is>
          <t>Insight untuk Jeonme</t>
        </is>
      </c>
    </row>
    <row r="2">
      <c r="A2" s="28" t="n">
        <v>1</v>
      </c>
      <c r="B2" s="28" t="inlineStr">
        <is>
          <t>My Lynks (Home)</t>
        </is>
      </c>
      <c r="C2" s="28" t="inlineStr">
        <is>
          <t>-</t>
        </is>
      </c>
      <c r="D2" s="28" t="inlineStr">
        <is>
          <t>Kelola blok/tautan halaman utama</t>
        </is>
      </c>
      <c r="E2" s="28" t="inlineStr">
        <is>
          <t>Klik "Add new block" -&gt; tab Basic (Link/Image/Text/Video/Social Connect) atau Monetization (Digital Product/Physical Product/Blog/Course Video/Event/Appointment/Supports/Affiliate Products/Email&amp;Phone) -&gt; isi wizard per tipe blok -&gt; blok muncul di halaman, bisa drag-reorder</t>
        </is>
      </c>
      <c r="F2" s="28" t="inlineStr">
        <is>
          <t>Live (akun asli)</t>
        </is>
      </c>
      <c r="G2" s="28" t="inlineStr">
        <is>
          <t>Basis dari hampir semua item Sprint 7 &amp; 11 backlog -- jenis 'blok' ini yang jadi pintu masuk semua fitur monetisasi.</t>
        </is>
      </c>
    </row>
    <row r="3">
      <c r="A3" s="29" t="n">
        <v>2</v>
      </c>
      <c r="B3" s="29" t="inlineStr">
        <is>
          <t>My Lynks</t>
        </is>
      </c>
      <c r="C3" s="29" t="inlineStr">
        <is>
          <t>Your Pages</t>
        </is>
      </c>
      <c r="D3" s="29" t="inlineStr">
        <is>
          <t>Multi-halaman bio dalam 1 akun</t>
        </is>
      </c>
      <c r="E3" s="29" t="inlineStr">
        <is>
          <t>Klik "+Page" -&gt; bikin halaman baru dengan tema/blok sendiri -&gt; tiap halaman punya URL sendiri</t>
        </is>
      </c>
      <c r="F3" s="29" t="inlineStr">
        <is>
          <t>Live (akun asli)</t>
        </is>
      </c>
      <c r="G3" s="29" t="inlineStr">
        <is>
          <t>Jeonme cuma 1 halaman per akun -- dicatat sbg ide masa depan (Sprint 14, belum prioritas).</t>
        </is>
      </c>
    </row>
    <row r="4">
      <c r="A4" s="28" t="n">
        <v>3</v>
      </c>
      <c r="B4" s="28" t="inlineStr">
        <is>
          <t>Landing Pages (label NEW)</t>
        </is>
      </c>
      <c r="C4" s="28" t="inlineStr">
        <is>
          <t>-</t>
        </is>
      </c>
      <c r="D4" s="28" t="inlineStr">
        <is>
          <t>Builder halaman landing terpisah dari bio utama, ada opsi 'Create with AI'</t>
        </is>
      </c>
      <c r="E4" s="28" t="inlineStr">
        <is>
          <t>Klik "Add New Page" -&gt; pilih generate manual atau AI -&gt; AI generate draft halaman lengkap siap edit</t>
        </is>
      </c>
      <c r="F4" s="28" t="inlineStr">
        <is>
          <t>Live (tombol saja, generate belum dicoba)</t>
        </is>
      </c>
      <c r="G4" s="28" t="inlineStr">
        <is>
          <t>Fitur baru, scope besar (lebih ke website builder) -- dicatat sbg ide masa depan (Sprint 14, belum prioritas).</t>
        </is>
      </c>
    </row>
    <row r="5">
      <c r="A5" s="29" t="n">
        <v>4</v>
      </c>
      <c r="B5" s="29" t="inlineStr">
        <is>
          <t>Appearance/Design</t>
        </is>
      </c>
      <c r="C5" s="29" t="inlineStr">
        <is>
          <t>-</t>
        </is>
      </c>
      <c r="D5" s="29" t="inlineStr">
        <is>
          <t>Kustomisasi visual halaman</t>
        </is>
      </c>
      <c r="E5" s="29" t="inlineStr">
        <is>
          <t>Pilih Layout (Classic/Modern/Clean) -&gt; atur Banner/Profile Image/About/Color -&gt; atau pilih galeri Template siap pakai -&gt; atau kustomisasi penuh (Background flat/gradient/gambar, gaya tombol, 16 pilihan font) -&gt; CTA &amp; tombol beli diatur terpisah</t>
        </is>
      </c>
      <c r="F5" s="29" t="inlineStr">
        <is>
          <t>Live (akun asli)</t>
        </is>
      </c>
      <c r="G5" s="29" t="inlineStr">
        <is>
          <t>Lebih granular dari Jeonme (5 preset tanpa override) -- selaras dengan No.80.</t>
        </is>
      </c>
    </row>
    <row r="6">
      <c r="A6" s="28" t="n">
        <v>5</v>
      </c>
      <c r="B6" s="28" t="inlineStr">
        <is>
          <t>Settings</t>
        </is>
      </c>
      <c r="C6" s="28" t="inlineStr">
        <is>
          <t>Site</t>
        </is>
      </c>
      <c r="D6" s="28" t="inlineStr">
        <is>
          <t>Domain kustom, favicon, judul website</t>
        </is>
      </c>
      <c r="E6" s="28" t="inlineStr">
        <is>
          <t>Cari/klaim domain sendiri di kolom pencarian -&gt; domain tersambung ke halaman Lynk -&gt; upload favicon &amp; atur judul tab browser</t>
        </is>
      </c>
      <c r="F6" s="28" t="inlineStr">
        <is>
          <t>Live (akun asli)</t>
        </is>
      </c>
      <c r="G6" s="28" t="inlineStr">
        <is>
          <t>Selaras dengan No.81 (domain kustom, prioritas Must).</t>
        </is>
      </c>
    </row>
    <row r="7">
      <c r="A7" s="29" t="n">
        <v>6</v>
      </c>
      <c r="B7" s="29" t="inlineStr">
        <is>
          <t>Settings</t>
        </is>
      </c>
      <c r="C7" s="29" t="inlineStr">
        <is>
          <t>Payment Method</t>
        </is>
      </c>
      <c r="D7" s="29" t="inlineStr">
        <is>
          <t>Atur channel pembayaran yang diterima + lihat biaya</t>
        </is>
      </c>
      <c r="E7" s="29" t="inlineStr">
        <is>
          <t>Tabel channel (QRIS/OVO/ShopeePay/DANA/VA bank/Kartu Kredit/dll) dengan fee % atau flat + limit transaksi ditampilkan transparan -&gt; toggle "Charge convenience fee to customers" pilih siapa yang nanggung biaya</t>
        </is>
      </c>
      <c r="F7" s="29" t="inlineStr">
        <is>
          <t>Live (akun asli)</t>
        </is>
      </c>
      <c r="G7" s="29" t="inlineStr">
        <is>
          <t>Selaras dengan No.89 (transparansi biaya).</t>
        </is>
      </c>
    </row>
    <row r="8">
      <c r="A8" s="28" t="n">
        <v>7</v>
      </c>
      <c r="B8" s="28" t="inlineStr">
        <is>
          <t>Settings &gt; Store Management</t>
        </is>
      </c>
      <c r="C8" s="28" t="inlineStr">
        <is>
          <t>Member Point System</t>
        </is>
      </c>
      <c r="D8" s="28" t="inlineStr">
        <is>
          <t>Program poin loyalitas + reward</t>
        </is>
      </c>
      <c r="E8" s="28" t="inlineStr">
        <is>
          <t>Points Management: aktifkan reward, pilih tipe poin (Percentage/Percentage-Limit/Nominal/Nominal-Limit), atur syarat min. belanja -&gt; Reward Management: klik "Add Reward" -&gt; isi Value/Valid Date/Points Needed/Qty</t>
        </is>
      </c>
      <c r="F8" s="28" t="inlineStr">
        <is>
          <t>Live (akun asli)</t>
        </is>
      </c>
      <c r="G8" s="28" t="inlineStr">
        <is>
          <t>Selaras dengan No.94.</t>
        </is>
      </c>
    </row>
    <row r="9">
      <c r="A9" s="29" t="n">
        <v>8</v>
      </c>
      <c r="B9" s="29" t="inlineStr">
        <is>
          <t>Settings &gt; Store Management</t>
        </is>
      </c>
      <c r="C9" s="29" t="inlineStr">
        <is>
          <t>Copyright</t>
        </is>
      </c>
      <c r="D9" s="29" t="inlineStr">
        <is>
          <t>Registrasi hak cipta produk (berbayar)</t>
        </is>
      </c>
      <c r="E9" s="29" t="inlineStr">
        <is>
          <t>Wizard 3 langkah: Author (pilih Diri Sendiri/Perusahaan, nama sesuai KTP, upload KTP+NPWP, no. HP) -&gt; Product -&gt; Payment</t>
        </is>
      </c>
      <c r="F9" s="29" t="inlineStr">
        <is>
          <t>Live (cuma step 1 dibuka)</t>
        </is>
      </c>
      <c r="G9" s="29" t="inlineStr">
        <is>
          <t>SENGAJA DIKECUALIKAN dari backlog -- kompleksitas legal/dokumen (KTP+NPWP) terlalu dalam untuk tahap Jeonme sekarang.</t>
        </is>
      </c>
    </row>
    <row r="10">
      <c r="A10" s="28" t="n">
        <v>9</v>
      </c>
      <c r="B10" s="28" t="inlineStr">
        <is>
          <t>Settings &gt; Store Management</t>
        </is>
      </c>
      <c r="C10" s="28" t="inlineStr">
        <is>
          <t>Custom Watermark</t>
        </is>
      </c>
      <c r="D10" s="28" t="inlineStr">
        <is>
          <t>Tandai file PDF terjual dengan identitas pembeli</t>
        </is>
      </c>
      <c r="E10" s="28" t="inlineStr">
        <is>
          <t>Toggle aktif -&gt; pilih sumber teks (email pembeli/teks custom) -&gt; atur posisi/ukuran/opacity -&gt; preview langsung -&gt; watermark otomatis terpasang saat file diunduh (HANYA PDF tanpa password)</t>
        </is>
      </c>
      <c r="F10" s="28" t="inlineStr">
        <is>
          <t>Live (akun asli)</t>
        </is>
      </c>
      <c r="G10" s="28" t="inlineStr">
        <is>
          <t>Selaras dengan No.85.</t>
        </is>
      </c>
    </row>
    <row r="11">
      <c r="A11" s="29" t="n">
        <v>10</v>
      </c>
      <c r="B11" s="29" t="inlineStr">
        <is>
          <t>Settings &gt; Store Management</t>
        </is>
      </c>
      <c r="C11" s="29" t="inlineStr">
        <is>
          <t>Social Proof Notifications</t>
        </is>
      </c>
      <c r="D11" s="29" t="inlineStr">
        <is>
          <t>Popup "baru saja beli" di halaman publik</t>
        </is>
      </c>
      <c r="E11" s="29" t="inlineStr">
        <is>
          <t>Toggle aktif -&gt; atur durasi tampil &amp; interval antar notifikasi -&gt; pilih cakupan (semua/produk tertentu) -&gt; pilih tampil di halaman produk dan/atau checkout -&gt; email pembeli otomatis disamarkan sebagian</t>
        </is>
      </c>
      <c r="F11" s="29" t="inlineStr">
        <is>
          <t>Live (akun asli)</t>
        </is>
      </c>
      <c r="G11" s="29" t="inlineStr">
        <is>
          <t>Selaras dengan No.76.</t>
        </is>
      </c>
    </row>
    <row r="12">
      <c r="A12" s="28" t="n">
        <v>11</v>
      </c>
      <c r="B12" s="28" t="inlineStr">
        <is>
          <t>Settings &gt; Store Management</t>
        </is>
      </c>
      <c r="C12" s="28" t="inlineStr">
        <is>
          <t>Follow Up Text</t>
        </is>
      </c>
      <c r="D12" s="28" t="inlineStr">
        <is>
          <t>Template pesan WhatsApp otomatis pasca-transaksi</t>
        </is>
      </c>
      <c r="E12" s="28" t="inlineStr">
        <is>
          <t>HARUS sambungkan WhatsApp Blast dulu -&gt; baru bisa bikin sampai 10 template pesan follow-up</t>
        </is>
      </c>
      <c r="F12" s="28" t="inlineStr">
        <is>
          <t>Live (terkunci di akun ini)</t>
        </is>
      </c>
      <c r="G12" s="28" t="inlineStr">
        <is>
          <t>Selaras dengan No.75 (dicatat sbg lanjutan alami).</t>
        </is>
      </c>
    </row>
    <row r="13">
      <c r="A13" s="29" t="n">
        <v>12</v>
      </c>
      <c r="B13" s="29" t="inlineStr">
        <is>
          <t>Settings</t>
        </is>
      </c>
      <c r="C13" s="29" t="inlineStr">
        <is>
          <t>Multi Admin</t>
        </is>
      </c>
      <c r="D13" s="29" t="inlineStr">
        <is>
          <t>Undang kolaborator dengan akses terbatas</t>
        </is>
      </c>
      <c r="E13" s="29" t="inlineStr">
        <is>
          <t>Owner undang user lain by email/username -&gt; atur peran/akses</t>
        </is>
      </c>
      <c r="F13" s="29" t="inlineStr">
        <is>
          <t>Live (dari pricing table)</t>
        </is>
      </c>
      <c r="G13" s="29" t="inlineStr">
        <is>
          <t>Selaras dengan No.87.</t>
        </is>
      </c>
    </row>
    <row r="14">
      <c r="A14" s="28" t="n">
        <v>13</v>
      </c>
      <c r="B14" s="28" t="inlineStr">
        <is>
          <t>Settings</t>
        </is>
      </c>
      <c r="C14" s="28" t="inlineStr">
        <is>
          <t>Integrations</t>
        </is>
      </c>
      <c r="D14" s="28" t="inlineStr">
        <is>
          <t>Sambungkan tool analitik/marketing eksternal</t>
        </is>
      </c>
      <c r="E14" s="28" t="inlineStr">
        <is>
          <t>Isi Facebook Pixel ID, Google Tag Manager ID, GA4 Measurement ID, sinkron Google Calendar, atur UTM parameter default</t>
        </is>
      </c>
      <c r="F14" s="28" t="inlineStr">
        <is>
          <t>Live (akun asli)</t>
        </is>
      </c>
      <c r="G14" s="28" t="inlineStr">
        <is>
          <t>Sebagian sudah standar (GA/Pixel); sinkron Calendar relevan utk Booking (No.92).</t>
        </is>
      </c>
    </row>
    <row r="15">
      <c r="A15" s="29" t="n">
        <v>14</v>
      </c>
      <c r="B15" s="29" t="inlineStr">
        <is>
          <t>Settings</t>
        </is>
      </c>
      <c r="C15" s="29" t="inlineStr">
        <is>
          <t>Account/Subscription</t>
        </is>
      </c>
      <c r="D15" s="29" t="inlineStr">
        <is>
          <t>Info &amp; upgrade paket langganan</t>
        </is>
      </c>
      <c r="E15" s="29" t="inlineStr">
        <is>
          <t>Lihat tier aktif (mis. "Premium, berlaku sampai...") -&gt; upgrade/downgrade paket</t>
        </is>
      </c>
      <c r="F15" s="29" t="inlineStr">
        <is>
          <t>Live (akun asli)</t>
        </is>
      </c>
      <c r="G15" s="29" t="inlineStr">
        <is>
          <t>-</t>
        </is>
      </c>
    </row>
    <row r="16">
      <c r="A16" s="28" t="n">
        <v>15</v>
      </c>
      <c r="B16" s="28" t="inlineStr">
        <is>
          <t>Voucher</t>
        </is>
      </c>
      <c r="C16" s="28" t="inlineStr">
        <is>
          <t>-</t>
        </is>
      </c>
      <c r="D16" s="28" t="inlineStr">
        <is>
          <t>Buat kode diskon/promo</t>
        </is>
      </c>
      <c r="E16" s="28" t="inlineStr">
        <is>
          <t>Klik "Create New Voucher" -&gt; pilih Single Code (1 kode banyak pemakai) atau Generate Unique Code (banyak kode sekali pakai, utk afiliasi/influencer) -&gt; pilih tipe (Percentage/Percentage-Cap/Nominal/Nominal-Cap) -&gt; atur Max Discount &amp; Min Purchase -&gt; pilih cakupan produk -&gt; simpan (maks 1 voucher/checkout)</t>
        </is>
      </c>
      <c r="F16" s="28" t="inlineStr">
        <is>
          <t>Live (akun asli)</t>
        </is>
      </c>
      <c r="G16" s="28" t="inlineStr">
        <is>
          <t>Selaras dengan No.67.</t>
        </is>
      </c>
    </row>
    <row r="17">
      <c r="A17" s="29" t="n">
        <v>16</v>
      </c>
      <c r="B17" s="29" t="inlineStr">
        <is>
          <t>Affiliates</t>
        </is>
      </c>
      <c r="C17" s="29" t="inlineStr">
        <is>
          <t>Punya sendiri (Privat/Publik)</t>
        </is>
      </c>
      <c r="D17" s="29" t="inlineStr">
        <is>
          <t>Kelola siapa yang boleh jual produk kita dengan komisi</t>
        </is>
      </c>
      <c r="E17" s="29" t="inlineStr">
        <is>
          <t>Pilih mode Privat (undang orang tertentu, komisi custom) atau Publik (produk masuk marketplace afiliasi lintas kreator, approval Lynk.id)</t>
        </is>
      </c>
      <c r="F17" s="29" t="inlineStr">
        <is>
          <t>Live (akun asli)</t>
        </is>
      </c>
      <c r="G17" s="29" t="inlineStr">
        <is>
          <t>Selaras dengan No.72.</t>
        </is>
      </c>
    </row>
    <row r="18">
      <c r="A18" s="28" t="n">
        <v>17</v>
      </c>
      <c r="B18" s="28" t="inlineStr">
        <is>
          <t>Affiliates</t>
        </is>
      </c>
      <c r="C18" s="28" t="inlineStr">
        <is>
          <t>Marketplace (gabung punya orang lain)</t>
        </is>
      </c>
      <c r="D18" s="28" t="inlineStr">
        <is>
          <t>Jadi afiliator untuk produk kreator lain</t>
        </is>
      </c>
      <c r="E18" s="28" t="inlineStr">
        <is>
          <t>Jelajahi daftar produk kreator lain yang buka program afiliasi -&gt; lihat komisi per-produk -&gt; gabung -&gt; dapat link afiliasi sendiri -&gt; komisi otomatis masuk saat closing</t>
        </is>
      </c>
      <c r="F18" s="28" t="inlineStr">
        <is>
          <t>Live (akun asli, data nyata)</t>
        </is>
      </c>
      <c r="G18" s="28" t="inlineStr">
        <is>
          <t>Fase lanjutan dari No.72 (marketplace publik lintas kreator).</t>
        </is>
      </c>
    </row>
    <row r="19">
      <c r="A19" s="29" t="n">
        <v>18</v>
      </c>
      <c r="B19" s="29" t="inlineStr">
        <is>
          <t>Orders</t>
        </is>
      </c>
      <c r="C19" s="29" t="inlineStr">
        <is>
          <t>-</t>
        </is>
      </c>
      <c r="D19" s="29" t="inlineStr">
        <is>
          <t>Kelola &amp; pantau semua transaksi</t>
        </is>
      </c>
      <c r="E19" s="29" t="inlineStr">
        <is>
          <t>Tab All Transaction/Pending(New,Processing,On Delivery)/Success-Complete/Unprinted Labels -&gt; klik order utk detail -&gt; bulk select utk aksi massal</t>
        </is>
      </c>
      <c r="F19" s="29" t="inlineStr">
        <is>
          <t>Live (akun asli)</t>
        </is>
      </c>
      <c r="G19" s="29" t="inlineStr">
        <is>
          <t>'Unprinted Labels' spesifik utk produk fisik (No.93) -- Jeonme (digital-only) belum butuh ini.</t>
        </is>
      </c>
    </row>
    <row r="20">
      <c r="A20" s="28" t="n">
        <v>19</v>
      </c>
      <c r="B20" s="28" t="inlineStr">
        <is>
          <t>Earnings</t>
        </is>
      </c>
      <c r="C20" s="28" t="inlineStr">
        <is>
          <t>-</t>
        </is>
      </c>
      <c r="D20" s="28" t="inlineStr">
        <is>
          <t>Saldo &amp; penarikan dana</t>
        </is>
      </c>
      <c r="E20" s="28" t="inlineStr">
        <is>
          <t>Lihat saldo -&gt; klik Withdraw -&gt; kalau belum verifikasi KYC, proses 2 hari kerja; kalau sudah verified, instan lewat "PaymeLynk"</t>
        </is>
      </c>
      <c r="F20" s="28" t="inlineStr">
        <is>
          <t>Live (akun asli)</t>
        </is>
      </c>
      <c r="G20" s="28" t="inlineStr">
        <is>
          <t>Selaras dengan No.84 (KYC + instant withdraw).</t>
        </is>
      </c>
    </row>
    <row r="21">
      <c r="A21" s="29" t="n">
        <v>20</v>
      </c>
      <c r="B21" s="29" t="inlineStr">
        <is>
          <t>Statistics/Analytics</t>
        </is>
      </c>
      <c r="C21" s="29" t="inlineStr">
        <is>
          <t>-</t>
        </is>
      </c>
      <c r="D21" s="29" t="inlineStr">
        <is>
          <t>Laporan performa &amp; penjualan</t>
        </is>
      </c>
      <c r="E21" s="29" t="inlineStr">
        <is>
          <t>Dashboard nunjukin Total Views&amp;Clicks (+% vs periode lalu), Total Sales (unit+nilai), Social Icons Clicks per platform, Sales Distribution (Net vs Affiliate), Top 5 Produk (Views/Sold/Amount/Conversion)</t>
        </is>
      </c>
      <c r="F21" s="29" t="inlineStr">
        <is>
          <t>Live (akun asli)</t>
        </is>
      </c>
      <c r="G21" s="29" t="inlineStr">
        <is>
          <t>Selaras dengan No.86 -- breakdown 'Net vs Affiliate' ini detail baru yang belum tercatat eksplisit.</t>
        </is>
      </c>
    </row>
    <row r="22">
      <c r="A22" s="28" t="n">
        <v>21</v>
      </c>
      <c r="B22" s="28" t="inlineStr">
        <is>
          <t>Marketing Tools</t>
        </is>
      </c>
      <c r="C22" s="28" t="inlineStr">
        <is>
          <t>E-Mail Marketing</t>
        </is>
      </c>
      <c r="D22" s="28" t="inlineStr">
        <is>
          <t>Kirim email promo ke pembeli/subscriber</t>
        </is>
      </c>
      <c r="E22" s="28" t="inlineStr">
        <is>
          <t>Perlu domain kustom aktif dulu -&gt; tulis campaign -&gt; kirim ke list (hanya dari pembeli asli atau blok Email&amp;Phone, tidak bisa upload list sembarang) -&gt; biaya Rp40/email terkirim</t>
        </is>
      </c>
      <c r="F22" s="28" t="inlineStr">
        <is>
          <t>Live (akun asli)</t>
        </is>
      </c>
      <c r="G22" s="28" t="inlineStr">
        <is>
          <t>Selaras dengan No.73 -- model biaya per-email ini detail baru.</t>
        </is>
      </c>
    </row>
    <row r="23">
      <c r="A23" s="29" t="n">
        <v>22</v>
      </c>
      <c r="B23" s="29" t="inlineStr">
        <is>
          <t>Marketing Tools</t>
        </is>
      </c>
      <c r="C23" s="29" t="inlineStr">
        <is>
          <t>WhatsApp Blast</t>
        </is>
      </c>
      <c r="D23" s="29" t="inlineStr">
        <is>
          <t>Broadcast promo lewat WA nomor sendiri</t>
        </is>
      </c>
      <c r="E23" s="29" t="inlineStr">
        <is>
          <t>Klik "Add Device" -&gt; scan QR kayak WhatsApp Web -&gt; nomor tersambung -&gt; compose pesan+voucher -&gt; kirim ke daftar kontak</t>
        </is>
      </c>
      <c r="F23" s="29" t="inlineStr">
        <is>
          <t>Live (akun asli)</t>
        </is>
      </c>
      <c r="G23" s="29" t="inlineStr">
        <is>
          <t>Selaras dengan No.75.</t>
        </is>
      </c>
    </row>
    <row r="24">
      <c r="A24" s="28" t="n">
        <v>23</v>
      </c>
      <c r="B24" s="28" t="inlineStr">
        <is>
          <t>Marketing Tools</t>
        </is>
      </c>
      <c r="C24" s="28" t="inlineStr">
        <is>
          <t>Automate Workflow (Beta)</t>
        </is>
      </c>
      <c r="D24" s="28" t="inlineStr">
        <is>
          <t>Kirim WA otomatis saat ada trigger (mis. ada penjualan)</t>
        </is>
      </c>
      <c r="E24" s="28" t="inlineStr">
        <is>
          <t>Butuh WhatsApp Blast aktif dulu -&gt; atur aturan "kalau X terjadi, kirim pesan Y"</t>
        </is>
      </c>
      <c r="F24" s="28" t="inlineStr">
        <is>
          <t>Live (nama+deskripsi)</t>
        </is>
      </c>
      <c r="G24" s="28" t="inlineStr">
        <is>
          <t>Perluasan otomatis dari No.75 -- dicatat sbg catatan tambahan, bukan item baru terpisah.</t>
        </is>
      </c>
    </row>
    <row r="25">
      <c r="A25" s="29" t="n">
        <v>24</v>
      </c>
      <c r="B25" s="29" t="inlineStr">
        <is>
          <t>Marketing Tools</t>
        </is>
      </c>
      <c r="C25" s="29" t="inlineStr">
        <is>
          <t>Clip Campaign</t>
        </is>
      </c>
      <c r="D25" s="29" t="inlineStr">
        <is>
          <t>Marketplace kreator konten (clipper) dibayar per-1000-view mempromosikan produk kreator lain</t>
        </is>
      </c>
      <c r="E25" s="29" t="inlineStr">
        <is>
          <t>Sisi kreator: buat campaign, isi saldo (Top Up), tentukan Rp/1000 view, review submission (Approved/In Review/Rejected). Sisi clipper: jelajahi campaign orang lain, repost/promosikan, dibayar otomatis, saldo bisa Cash Out</t>
        </is>
      </c>
      <c r="F25" s="29" t="inlineStr">
        <is>
          <t>Live (contoh campaign asli berjalan)</t>
        </is>
      </c>
      <c r="G25" s="29" t="inlineStr">
        <is>
          <t>Growth mechanic unik &amp; kompleks -- SENGAJA DIKECUALIKAN dari backlog aktif, dicatat sbg ide masa depan.</t>
        </is>
      </c>
    </row>
    <row r="26">
      <c r="A26" s="28" t="n">
        <v>25</v>
      </c>
      <c r="B26" s="28" t="inlineStr">
        <is>
          <t>Appointment</t>
        </is>
      </c>
      <c r="C26" s="28" t="inlineStr">
        <is>
          <t>-</t>
        </is>
      </c>
      <c r="D26" s="28" t="inlineStr">
        <is>
          <t>Booking konsultasi berbayar dengan sinkron kalender</t>
        </is>
      </c>
      <c r="E26" s="28" t="inlineStr">
        <is>
          <t>Blok 'Create paid calendar booking' -- TIDAK BISA DIBUKA sama sekali (bug produk mereka sendiri, dikonfirmasi 3x percobaan berbeda)</t>
        </is>
      </c>
      <c r="F26" s="28" t="inlineStr">
        <is>
          <t>Gagal dibuka (bug asli)</t>
        </is>
      </c>
      <c r="G26" s="28" t="inlineStr">
        <is>
          <t>Selaras dengan No.92 -- fiturnya cuma bisa disimpulkan dari nama+deskripsi, bukan dilihat langsung.</t>
        </is>
      </c>
    </row>
    <row r="27">
      <c r="A27" s="29" t="n">
        <v>26</v>
      </c>
      <c r="B27" s="29" t="inlineStr">
        <is>
          <t>Knowledge Base (lynk.id/faq)</t>
        </is>
      </c>
      <c r="C27" s="29" t="inlineStr">
        <is>
          <t>-</t>
        </is>
      </c>
      <c r="D27" s="29" t="inlineStr">
        <is>
          <t>Pusat bantuan publik (di luar dashboard)</t>
        </is>
      </c>
      <c r="E27" s="29" t="inlineStr">
        <is>
          <t>Kategori General/Integration/Payment/Product/Promotion/Tips&amp;Trick, ada kotak pencarian</t>
        </is>
      </c>
      <c r="F27" s="29" t="inlineStr">
        <is>
          <t>Live</t>
        </is>
      </c>
      <c r="G27" s="29" t="inlineStr">
        <is>
          <t>Sumber detail KYC (No.84) &amp; konfirmasi tier Brandpreneur tanpa dokumentasi publik.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30" customWidth="1" min="3" max="3"/>
    <col width="45" customWidth="1" min="4" max="4"/>
    <col width="50" customWidth="1" min="5" max="5"/>
  </cols>
  <sheetData>
    <row r="1">
      <c r="A1" s="27" t="inlineStr">
        <is>
          <t>No</t>
        </is>
      </c>
      <c r="B1" s="27" t="inlineStr">
        <is>
          <t>Bagian Baru (Jeonme)</t>
        </is>
      </c>
      <c r="C1" s="27" t="inlineStr">
        <is>
          <t>Menggabungkan Dari</t>
        </is>
      </c>
      <c r="D1" s="27" t="inlineStr">
        <is>
          <t>Isi / Fitur yang Masuk</t>
        </is>
      </c>
      <c r="E1" s="27" t="inlineStr">
        <is>
          <t>Kenapa Lebih Sederhana</t>
        </is>
      </c>
    </row>
    <row r="2">
      <c r="A2" s="28" t="n">
        <v>1</v>
      </c>
      <c r="B2" s="28" t="inlineStr">
        <is>
          <t>Ringkasan</t>
        </is>
      </c>
      <c r="C2" s="28" t="inlineStr">
        <is>
          <t>Linktree Insights + Lynk.id Statistics/Dashboard</t>
        </is>
      </c>
      <c r="D2" s="28" t="inlineStr">
        <is>
          <t>Analitik utama, asisten AI (No.96), grafik tren, produk terlaris, breakdown perangkat/lokasi (No.86)</t>
        </is>
      </c>
      <c r="E2" s="28" t="inlineStr">
        <is>
          <t>Satu pintu masuk analitik -- tidak perlu pilah 'Statistics' vs 'Dashboard' vs 'Insights' terpisah seperti kedua kompetitor.</t>
        </is>
      </c>
    </row>
    <row r="3">
      <c r="A3" s="29" t="n">
        <v>2</v>
      </c>
      <c r="B3" s="29" t="inlineStr">
        <is>
          <t>Halaman Saya</t>
        </is>
      </c>
      <c r="C3" s="29" t="inlineStr">
        <is>
          <t>Linktree Links+Shop+Design + Lynk.id My Lynks+Appearance</t>
        </is>
      </c>
      <c r="D3" s="29" t="inlineStr">
        <is>
          <t>Semua blok tautan/produk/desain tema dalam SATU alur edit, dengan preview langsung di sebelah (pola PagePreview yang sudah ada di Jeonme)</t>
        </is>
      </c>
      <c r="E3" s="29" t="inlineStr">
        <is>
          <t>Linktree pisah Links/Shop/Design jadi 3 tab beda; Lynk.id pisah Blok vs Appearance. Buat kreator, semua 'yang tampil di halaman publik' itu satu kesatuan mental model -- Jeonme gabung jadi satu.</t>
        </is>
      </c>
    </row>
    <row r="4">
      <c r="A4" s="28" t="n">
        <v>3</v>
      </c>
      <c r="B4" s="28" t="inlineStr">
        <is>
          <t>Produk &amp; Monetisasi</t>
        </is>
      </c>
      <c r="C4" s="28" t="inlineStr">
        <is>
          <t>Lynk.id Voucher+Affiliates+Store Management(poin) + Linktree Shop</t>
        </is>
      </c>
      <c r="D4" s="28" t="inlineStr">
        <is>
          <t>Produk, voucher, bundel, flash sale, bayar-seikhlasnya, poin loyalitas, program afiliasi -- satu hub 'cara saya dapat uang'</t>
        </is>
      </c>
      <c r="E4" s="28" t="inlineStr">
        <is>
          <t>Lynk.id sebar fitur ini ke banyak menu terpisah (Voucher/Affiliates/Settings&gt;Store Management) padahal secara mental model kreator itu semua 'alat jualan saya'.</t>
        </is>
      </c>
    </row>
    <row r="5">
      <c r="A5" s="29" t="n">
        <v>4</v>
      </c>
      <c r="B5" s="29" t="inlineStr">
        <is>
          <t>Audiens &amp; Pemasaran</t>
        </is>
      </c>
      <c r="C5" s="29" t="inlineStr">
        <is>
          <t>Linktree Audience+Business cards + Lynk.id Marketing Tools (Email/WA Blast)</t>
        </is>
      </c>
      <c r="D5" s="29" t="inlineStr">
        <is>
          <t>Kumpulkan lead, kartu kontak digital/NFC (No.95), broadcast WhatsApp/email (No.73/75), social proof (No.76)</t>
        </is>
      </c>
      <c r="E5" s="29" t="inlineStr">
        <is>
          <t>Satu tempat utk 'bagaimana saya jangkau &amp; rawat pembeli', bukan tersebar di sidebar Audience terpisah dari Marketing Tools terpisah dari Tools seperti kedua kompetitor.</t>
        </is>
      </c>
    </row>
    <row r="6">
      <c r="A6" s="28" t="n">
        <v>5</v>
      </c>
      <c r="B6" s="28" t="inlineStr">
        <is>
          <t>Saldo &amp; Penarikan</t>
        </is>
      </c>
      <c r="C6" s="28" t="inlineStr">
        <is>
          <t>Lynk.id Earnings+KYC + Linktree Earn&gt;Earnings</t>
        </is>
      </c>
      <c r="D6" s="28" t="inlineStr">
        <is>
          <t>Saldo, status verifikasi KYC (No.84), transparansi biaya per channel (No.89), riwayat penarikan</t>
        </is>
      </c>
      <c r="E6" s="28" t="inlineStr">
        <is>
          <t>Sudah ada di Jeonme -- tinggal diperkaya, tidak perlu redesain struktur.</t>
        </is>
      </c>
    </row>
    <row r="7">
      <c r="A7" s="29" t="n">
        <v>6</v>
      </c>
      <c r="B7" s="29" t="inlineStr">
        <is>
          <t>Pengaturan</t>
        </is>
      </c>
      <c r="C7" s="29" t="inlineStr">
        <is>
          <t>Linktree More(Settings/Account/Billing) + Lynk.id Settings(Site/Integrations/Multi Admin)</t>
        </is>
      </c>
      <c r="D7" s="29" t="inlineStr">
        <is>
          <t>Domain kustom (No.81), SEO (No.83), integrasi pihak ketiga, tim/multi-admin (No.87), watermark file (No.85)</t>
        </is>
      </c>
      <c r="E7" s="29" t="inlineStr">
        <is>
          <t>Linktree nyembunyiin ini di menu 'More' yang gampang kelewat -- Jeonme taruh eksplisit di sidebar biar tidak collapse jadi 1 tombol generic.</t>
        </is>
      </c>
    </row>
    <row r="9">
      <c r="A9" s="30" t="inlineStr">
        <is>
          <t>Fitur yang Sengaja TIDAK Dimasukkan ke Backlog (dipertimbangkan, bukan terlupa)</t>
        </is>
      </c>
    </row>
    <row r="10">
      <c r="A10" s="27" t="inlineStr">
        <is>
          <t>No</t>
        </is>
      </c>
      <c r="B10" s="27" t="inlineStr">
        <is>
          <t>Fitur</t>
        </is>
      </c>
      <c r="C10" s="27" t="inlineStr">
        <is>
          <t>Sumber</t>
        </is>
      </c>
      <c r="D10" s="27" t="inlineStr">
        <is>
          <t>Alasan Dikecualikan</t>
        </is>
      </c>
    </row>
    <row r="11">
      <c r="A11" s="29" t="n">
        <v>1</v>
      </c>
      <c r="B11" s="29" t="inlineStr">
        <is>
          <t>Copyright registration service (Lynk.id)</t>
        </is>
      </c>
      <c r="C11" s="29" t="inlineStr">
        <is>
          <t>Lynk.id Settings&gt;Store Management</t>
        </is>
      </c>
      <c r="D11" s="29" t="inlineStr">
        <is>
          <t>Butuh KTP+NPWP, wizard 3 langkah -- kompleksitas legal/dokumen terlalu dalam untuk tahap Jeonme sekarang.</t>
        </is>
      </c>
    </row>
    <row r="12">
      <c r="A12" s="28" t="n">
        <v>2</v>
      </c>
      <c r="B12" s="28" t="inlineStr">
        <is>
          <t>Lynk.id Plaque program (Silver/Gold/Diamond)</t>
        </is>
      </c>
      <c r="C12" s="28" t="inlineStr">
        <is>
          <t>Lynk.id (help center)</t>
        </is>
      </c>
      <c r="D12" s="28" t="inlineStr">
        <is>
          <t>Program penghargaan berbasis omzet Rp100jt-1M -- terlalu dini untuk platform yang baru mulai, belum ada basis kreator besar.</t>
        </is>
      </c>
    </row>
    <row r="13">
      <c r="A13" s="29" t="n">
        <v>3</v>
      </c>
      <c r="B13" s="29" t="inlineStr">
        <is>
          <t>Clip Campaign (UGC clipping marketplace)</t>
        </is>
      </c>
      <c r="C13" s="29" t="inlineStr">
        <is>
          <t>Lynk.id Marketing Tools</t>
        </is>
      </c>
      <c r="D13" s="29" t="inlineStr">
        <is>
          <t>Growth mechanic unik &amp; kompleks (marketplace dua sisi kreator-clipper) -- dicatat sbg ide masa depan, bukan prioritas.</t>
        </is>
      </c>
    </row>
    <row r="14">
      <c r="A14" s="28" t="n">
        <v>4</v>
      </c>
      <c r="B14" s="28" t="inlineStr">
        <is>
          <t>Social Planner (penjadwal posting sosial)</t>
        </is>
      </c>
      <c r="C14" s="28" t="inlineStr">
        <is>
          <t>Linktree Tools</t>
        </is>
      </c>
      <c r="D14" s="28" t="inlineStr">
        <is>
          <t>Di luar scope inti Jeonme (link-in-bio/monetisasi) -- ini produk social-media-management terpisah (Plann by Linktree).</t>
        </is>
      </c>
    </row>
    <row r="15">
      <c r="A15" s="29" t="n">
        <v>5</v>
      </c>
      <c r="B15" s="29" t="inlineStr">
        <is>
          <t>Instagram auto-reply (auto-DM)</t>
        </is>
      </c>
      <c r="C15" s="29" t="inlineStr">
        <is>
          <t>Linktree Tools</t>
        </is>
      </c>
      <c r="D15" s="29" t="inlineStr">
        <is>
          <t>Butuh Instagram Graph API resmi (approval Meta) -- kompleksitas &amp; risiko ToS tinggi untuk manfaat yang tangensial.</t>
        </is>
      </c>
    </row>
    <row r="16">
      <c r="A16" s="28" t="n">
        <v>6</v>
      </c>
      <c r="B16" s="28" t="inlineStr">
        <is>
          <t>Post ideas (AI caption generator)</t>
        </is>
      </c>
      <c r="C16" s="28" t="inlineStr">
        <is>
          <t>Linktree Tools</t>
        </is>
      </c>
      <c r="D16" s="28" t="inlineStr">
        <is>
          <t>Sama seperti Social Planner -- di luar scope inti, lebih cocok jadi fitur produk media sosial terpisah.</t>
        </is>
      </c>
    </row>
  </sheetData>
  <mergeCells count="1">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2026-07-04T06:17:12Z</dcterms:created>
  <dcterms:modified xmlns:dcterms="http://purl.org/dc/terms/" xmlns:xsi="http://www.w3.org/2001/XMLSchema-instance" xsi:type="dcterms:W3CDTF">2026-07-25T03:38:13Z</dcterms:modified>
</cp:coreProperties>
</file>