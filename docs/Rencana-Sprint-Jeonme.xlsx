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ingkasan" sheetId="1" state="visible" r:id="rId1"/>
    <sheet xmlns:r="http://schemas.openxmlformats.org/officeDocument/2006/relationships" name="Backlog" sheetId="2" state="visible" r:id="rId2"/>
  </sheets>
  <definedNames>
    <definedName name="_xlnm._FilterDatabase" localSheetId="1" hidden="1">'Backlog'!$A$1:$J$64</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Georgia"/>
      <b val="1"/>
      <color rgb="00C9A24B"/>
      <sz val="11"/>
    </font>
    <font>
      <name val="Georgia"/>
      <b val="1"/>
      <color rgb="001B4D3E"/>
      <sz val="20"/>
    </font>
    <font>
      <name val="Calibri"/>
      <i val="1"/>
      <color rgb="00444444"/>
      <sz val="11"/>
    </font>
    <font>
      <name val="Calibri"/>
      <color rgb="00777777"/>
      <sz val="9"/>
    </font>
    <font>
      <b val="1"/>
      <color rgb="00FFFFFF"/>
    </font>
  </fonts>
  <fills count="11">
    <fill>
      <patternFill/>
    </fill>
    <fill>
      <patternFill patternType="gray125"/>
    </fill>
    <fill>
      <patternFill patternType="solid">
        <fgColor rgb="001B4D3E"/>
      </patternFill>
    </fill>
    <fill>
      <patternFill patternType="solid">
        <fgColor rgb="00F2F5F3"/>
      </patternFill>
    </fill>
    <fill>
      <patternFill patternType="solid">
        <fgColor rgb="00FDECD2"/>
      </patternFill>
    </fill>
    <fill>
      <patternFill patternType="solid">
        <fgColor rgb="00FFFFFF"/>
      </patternFill>
    </fill>
    <fill>
      <patternFill patternType="solid">
        <fgColor rgb="00E7E9E8"/>
      </patternFill>
    </fill>
    <fill>
      <patternFill patternType="solid">
        <fgColor rgb="00FBE1DC"/>
      </patternFill>
    </fill>
    <fill>
      <patternFill patternType="solid">
        <fgColor rgb="00DFF0E6"/>
      </patternFill>
    </fill>
    <fill>
      <patternFill patternType="solid">
        <fgColor rgb="00E2ECF7"/>
      </patternFill>
    </fill>
    <fill>
      <patternFill patternType="solid">
        <fgColor rgb="00FFF3CD"/>
        <bgColor rgb="00FFF3CD"/>
      </patternFill>
    </fill>
  </fills>
  <borders count="2">
    <border>
      <left/>
      <right/>
      <top/>
      <bottom/>
      <diagonal/>
    </border>
    <border>
      <left style="thin">
        <color rgb="00D8DDD9"/>
      </left>
      <right style="thin">
        <color rgb="00D8DDD9"/>
      </right>
      <top style="thin">
        <color rgb="00D8DDD9"/>
      </top>
      <bottom style="thin">
        <color rgb="00D8DDD9"/>
      </bottom>
    </border>
  </borders>
  <cellStyleXfs count="1">
    <xf numFmtId="0" fontId="0" fillId="0" borderId="0"/>
  </cellStyleXfs>
  <cellXfs count="2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0" applyAlignment="1" pivotButton="0" quotePrefix="0" xfId="0">
      <alignment horizontal="left" vertical="center" wrapText="1"/>
    </xf>
    <xf numFmtId="0" fontId="0" fillId="3" borderId="0" applyAlignment="1" pivotButton="0" quotePrefix="0" xfId="0">
      <alignment horizontal="left" vertical="center" wrapText="1"/>
    </xf>
    <xf numFmtId="0" fontId="0" fillId="4" borderId="0" applyAlignment="1" pivotButton="0" quotePrefix="0" xfId="0">
      <alignment horizontal="left" vertical="center" wrapText="1"/>
    </xf>
    <xf numFmtId="0" fontId="0" fillId="5" borderId="0" applyAlignment="1" pivotButton="0" quotePrefix="0" xfId="0">
      <alignment horizontal="left" vertical="center" wrapText="1"/>
    </xf>
    <xf numFmtId="0" fontId="0" fillId="6" borderId="0" applyAlignment="1" pivotButton="0" quotePrefix="0" xfId="0">
      <alignment horizontal="left" vertical="center" wrapText="1"/>
    </xf>
    <xf numFmtId="0" fontId="5" fillId="2" borderId="0" applyAlignment="1" pivotButton="0" quotePrefix="0" xfId="0">
      <alignment horizontal="center" vertical="center" wrapText="1"/>
    </xf>
    <xf numFmtId="0" fontId="0" fillId="0" borderId="1" applyAlignment="1" pivotButton="0" quotePrefix="0" xfId="0">
      <alignment vertical="center"/>
    </xf>
    <xf numFmtId="0" fontId="0" fillId="0" borderId="1" applyAlignment="1" pivotButton="0" quotePrefix="0" xfId="0">
      <alignment vertical="center" wrapText="1"/>
    </xf>
    <xf numFmtId="0" fontId="0" fillId="7" borderId="1" applyAlignment="1" pivotButton="0" quotePrefix="0" xfId="0">
      <alignment vertical="center"/>
    </xf>
    <xf numFmtId="0" fontId="0" fillId="8" borderId="1" applyAlignment="1" pivotButton="0" quotePrefix="0" xfId="0">
      <alignment vertical="center"/>
    </xf>
    <xf numFmtId="0" fontId="0" fillId="3" borderId="1" applyAlignment="1" pivotButton="0" quotePrefix="0" xfId="0">
      <alignment vertical="center"/>
    </xf>
    <xf numFmtId="0" fontId="0" fillId="3" borderId="1" applyAlignment="1" pivotButton="0" quotePrefix="0" xfId="0">
      <alignment vertical="center" wrapText="1"/>
    </xf>
    <xf numFmtId="0" fontId="0" fillId="4" borderId="1" applyAlignment="1" pivotButton="0" quotePrefix="0" xfId="0">
      <alignment vertical="center"/>
    </xf>
    <xf numFmtId="0" fontId="0" fillId="9" borderId="1" applyAlignment="1" pivotButton="0" quotePrefix="0" xfId="0">
      <alignment vertical="center"/>
    </xf>
    <xf numFmtId="0" fontId="0" fillId="6" borderId="1" applyAlignment="1" pivotButton="0" quotePrefix="0" xfId="0">
      <alignment vertical="center"/>
    </xf>
    <xf numFmtId="0" fontId="0" fillId="10" borderId="1" applyAlignment="1" pivotButton="0" quotePrefix="0" xfId="0">
      <alignment vertical="center"/>
    </xf>
  </cellXfs>
  <cellStyles count="1">
    <cellStyle name="Normal" xfId="0" builtinId="0" hidden="0"/>
  </cellStyles>
  <dxfs count="4">
    <dxf>
      <fill>
        <patternFill patternType="solid">
          <fgColor rgb="00DFF0E6"/>
        </patternFill>
      </fill>
    </dxf>
    <dxf>
      <fill>
        <patternFill patternType="solid">
          <fgColor rgb="00FDECD2"/>
        </patternFill>
      </fill>
    </dxf>
    <dxf>
      <fill>
        <patternFill patternType="solid">
          <fgColor rgb="00E7E9E8"/>
        </patternFill>
      </fill>
    </dxf>
    <dxf>
      <fill>
        <patternFill patternType="solid">
          <fgColor rgb="00FBE1D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14"/>
  <sheetViews>
    <sheetView showGridLines="0" workbookViewId="0">
      <selection activeCell="A1" sqref="A1"/>
    </sheetView>
  </sheetViews>
  <sheetFormatPr baseColWidth="8" defaultRowHeight="15"/>
  <cols>
    <col width="2" customWidth="1" min="1" max="1"/>
    <col width="12" customWidth="1" min="2" max="2"/>
    <col width="26" customWidth="1" min="3" max="3"/>
    <col width="12" customWidth="1" min="4" max="4"/>
    <col width="46" customWidth="1" min="5" max="5"/>
    <col width="12" customWidth="1" min="6" max="6"/>
    <col width="16" customWidth="1" min="7" max="7"/>
  </cols>
  <sheetData>
    <row r="1"/>
    <row r="2">
      <c r="B2" s="1" t="inlineStr">
        <is>
          <t>JEONME</t>
        </is>
      </c>
    </row>
    <row r="3" ht="26" customHeight="1">
      <c r="B3" s="2" t="inlineStr">
        <is>
          <t>Rencana Sprint &amp; Backlog</t>
        </is>
      </c>
    </row>
    <row r="4">
      <c r="B4" s="3" t="inlineStr">
        <is>
          <t>Fase 1 (MVP) -- 1 sprint penutupan fondasi + 5 sprint dua-mingguan</t>
        </is>
      </c>
    </row>
    <row r="5">
      <c r="B5" s="4" t="inlineStr">
        <is>
          <t>Diperbarui: 3 Juli 2026 -- lihat sheet 'Backlog' untuk daftar task lengkap dan bisa diedit (Status, PIC).</t>
        </is>
      </c>
      <c r="C5" t="inlineStr">
        <is>
          <t>Diperbarui: 17 Juli 2026 -- rekonsiliasi disbursement admin (No.53) selesai, panel admin didesain ulang.</t>
        </is>
      </c>
    </row>
    <row r="6"/>
    <row r="7">
      <c r="B7" s="5" t="inlineStr">
        <is>
          <t>Sprint</t>
        </is>
      </c>
      <c r="C7" s="5" t="inlineStr">
        <is>
          <t>Nama</t>
        </is>
      </c>
      <c r="D7" s="5" t="inlineStr">
        <is>
          <t>Durasi</t>
        </is>
      </c>
      <c r="E7" s="5" t="inlineStr">
        <is>
          <t>Tujuan</t>
        </is>
      </c>
      <c r="F7" s="5" t="inlineStr">
        <is>
          <t>Jumlah Task</t>
        </is>
      </c>
      <c r="G7" s="5" t="inlineStr">
        <is>
          <t>Status</t>
        </is>
      </c>
    </row>
    <row r="8">
      <c r="B8" s="6" t="inlineStr">
        <is>
          <t>Sprint 0</t>
        </is>
      </c>
      <c r="C8" s="6" t="inlineStr">
        <is>
          <t>Penutupan Fondasi</t>
        </is>
      </c>
      <c r="D8" s="6" t="inlineStr">
        <is>
          <t>Sisa Fase 0</t>
        </is>
      </c>
      <c r="E8" s="6" t="inlineStr">
        <is>
          <t>Pipeline CI/CD aman dipakai, backend teruji, HTTPS siap, VPS live</t>
        </is>
      </c>
      <c r="F8" s="6">
        <f>COUNTIF(Backlog!B:B,"Sprint 0")</f>
        <v/>
      </c>
      <c r="G8" s="7" t="inlineStr">
        <is>
          <t>Selesai</t>
        </is>
      </c>
    </row>
    <row r="9">
      <c r="B9" s="8" t="inlineStr">
        <is>
          <t>Sprint 1</t>
        </is>
      </c>
      <c r="C9" s="8" t="inlineStr">
        <is>
          <t>Onboarding &amp; Halaman Publik</t>
        </is>
      </c>
      <c r="D9" s="8" t="inlineStr">
        <is>
          <t>Minggu 1-2</t>
        </is>
      </c>
      <c r="E9" s="8" t="inlineStr">
        <is>
          <t>Kreator daftar, kustomisasi, terbitkan halaman publik</t>
        </is>
      </c>
      <c r="F9" s="8">
        <f>COUNTIF(Backlog!B:B,"Sprint 1")</f>
        <v/>
      </c>
      <c r="G9" s="9" t="inlineStr">
        <is>
          <t>Sebagian Selesai (OAuth Google diblokir -- butuh GOOGLE_CLIENT_ID/SECRET)</t>
        </is>
      </c>
    </row>
    <row r="10">
      <c r="B10" s="6" t="inlineStr">
        <is>
          <t>Sprint 2</t>
        </is>
      </c>
      <c r="C10" s="6" t="inlineStr">
        <is>
          <t>Produk Digital &amp; Upload</t>
        </is>
      </c>
      <c r="D10" s="6" t="inlineStr">
        <is>
          <t>Minggu 3-4</t>
        </is>
      </c>
      <c r="E10" s="6" t="inlineStr">
        <is>
          <t>Kreator unggah &amp; jual file digital</t>
        </is>
      </c>
      <c r="F10" s="6">
        <f>COUNTIF(Backlog!B:B,"Sprint 2")</f>
        <v/>
      </c>
      <c r="G10" s="9" t="inlineStr">
        <is>
          <t>Selesai</t>
        </is>
      </c>
    </row>
    <row r="11">
      <c r="B11" s="8" t="inlineStr">
        <is>
          <t>Sprint 3</t>
        </is>
      </c>
      <c r="C11" s="8" t="inlineStr">
        <is>
          <t>Checkout &amp; Pembayaran</t>
        </is>
      </c>
      <c r="D11" s="8" t="inlineStr">
        <is>
          <t>Minggu 5-6</t>
        </is>
      </c>
      <c r="E11" s="8" t="inlineStr">
        <is>
          <t>Pembeli checkout &amp; bayar sungguhan lewat Xendit</t>
        </is>
      </c>
      <c r="F11" s="8">
        <f>COUNTIF(Backlog!B:B,"Sprint 3")</f>
        <v/>
      </c>
      <c r="G11" s="9" t="inlineStr">
        <is>
          <t>Sebagian Selesai (Midtrans SANDBOX aktif &amp; terverifikasi di staging+production; notifikasi email selesai &amp; terverifikasi dengan SMTP sungguhan; WhatsApp &amp; akun Midtrans production sungguhan masih belum ada)</t>
        </is>
      </c>
    </row>
    <row r="12">
      <c r="B12" s="6" t="inlineStr">
        <is>
          <t>Sprint 4</t>
        </is>
      </c>
      <c r="C12" s="6" t="inlineStr">
        <is>
          <t>Ledger, Saldo &amp; Penarikan</t>
        </is>
      </c>
      <c r="D12" s="6" t="inlineStr">
        <is>
          <t>Minggu 7-8</t>
        </is>
      </c>
      <c r="E12" s="6" t="inlineStr">
        <is>
          <t>Uang kreator dihitung, dipantau, ditarik</t>
        </is>
      </c>
      <c r="F12" s="6">
        <f>COUNTIF(Backlog!B:B,"Sprint 4")</f>
        <v/>
      </c>
      <c r="G12" s="9" t="inlineStr">
        <is>
          <t>Sebagian Selesai (rekonsiliasi admin selesai -- No.53; disbursement OTOMATIS via Midtrans API sungguhan masih belum ada, diproses manual oleh admin untuk sekarang)</t>
        </is>
      </c>
    </row>
    <row r="13">
      <c r="B13" s="8" t="inlineStr">
        <is>
          <t>Sprint 5</t>
        </is>
      </c>
      <c r="C13" s="8" t="inlineStr">
        <is>
          <t>Analitik &amp; Pengerasan Go-Live</t>
        </is>
      </c>
      <c r="D13" s="8" t="inlineStr">
        <is>
          <t>Minggu 9-10</t>
        </is>
      </c>
      <c r="E13" s="8" t="inlineStr">
        <is>
          <t>Siap rilis production pertama</t>
        </is>
      </c>
      <c r="F13" s="8">
        <f>COUNTIF(Backlog!B:B,"Sprint 5")</f>
        <v/>
      </c>
      <c r="G13" s="9" t="inlineStr">
        <is>
          <t>Sebagian Selesai (smoke test uang sungguhan diblokir Midtrans, checklist go-live perlu review manual akhir)</t>
        </is>
      </c>
    </row>
    <row r="14">
      <c r="B14" s="8" t="inlineStr">
        <is>
          <t>Sprint 6</t>
        </is>
      </c>
      <c r="C14" s="8" t="inlineStr">
        <is>
          <t>Panel Admin</t>
        </is>
      </c>
      <c r="D14" s="8" t="inlineStr">
        <is>
          <t>Minggu 11-12</t>
        </is>
      </c>
      <c r="E14" s="8" t="inlineStr">
        <is>
          <t>Admin bisa kelola user, moderasi konten, dan pantau transaksi</t>
        </is>
      </c>
      <c r="F14" s="8">
        <f>COUNTIF(Backlog!B:B,"Sprint 6")</f>
        <v/>
      </c>
      <c r="G14" s="9" t="inlineStr">
        <is>
          <t>Selesai</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67"/>
  <sheetViews>
    <sheetView showGridLines="0" workbookViewId="0">
      <pane ySplit="1" topLeftCell="A2" activePane="bottomLeft" state="frozen"/>
      <selection pane="bottomLeft" activeCell="A1" sqref="A1"/>
    </sheetView>
  </sheetViews>
  <sheetFormatPr baseColWidth="8" defaultRowHeight="15"/>
  <cols>
    <col width="5" customWidth="1" min="1" max="1"/>
    <col width="10" customWidth="1" min="2" max="2"/>
    <col width="10" customWidth="1" min="3" max="3"/>
    <col width="52" customWidth="1" min="4" max="4"/>
    <col width="16" customWidth="1" min="5" max="5"/>
    <col width="10" customWidth="1" min="6" max="6"/>
    <col width="14" customWidth="1" min="7" max="7"/>
    <col width="14" customWidth="1" min="8" max="8"/>
    <col width="10" customWidth="1" min="9" max="9"/>
    <col width="34" customWidth="1" min="10" max="10"/>
  </cols>
  <sheetData>
    <row r="1">
      <c r="A1" s="10" t="inlineStr">
        <is>
          <t>No</t>
        </is>
      </c>
      <c r="B1" s="10" t="inlineStr">
        <is>
          <t>Sprint</t>
        </is>
      </c>
      <c r="C1" s="10" t="inlineStr">
        <is>
          <t>Area</t>
        </is>
      </c>
      <c r="D1" s="10" t="inlineStr">
        <is>
          <t>Task</t>
        </is>
      </c>
      <c r="E1" s="10" t="inlineStr">
        <is>
          <t>Ref (REQ-F / Temuan)</t>
        </is>
      </c>
      <c r="F1" s="10" t="inlineStr">
        <is>
          <t>Prioritas</t>
        </is>
      </c>
      <c r="G1" s="10" t="inlineStr">
        <is>
          <t>Status</t>
        </is>
      </c>
      <c r="H1" s="10" t="inlineStr">
        <is>
          <t>PIC</t>
        </is>
      </c>
      <c r="I1" s="10" t="inlineStr">
        <is>
          <t>Estimasi (hari)</t>
        </is>
      </c>
      <c r="J1" s="10" t="inlineStr">
        <is>
          <t>Catatan</t>
        </is>
      </c>
    </row>
    <row r="2">
      <c r="A2" s="11" t="n">
        <v>1</v>
      </c>
      <c r="B2" s="11" t="inlineStr">
        <is>
          <t>Sprint 0</t>
        </is>
      </c>
      <c r="C2" s="11" t="inlineStr">
        <is>
          <t>CI/CD</t>
        </is>
      </c>
      <c r="D2" s="12" t="inlineStr">
        <is>
          <t>Perbaiki migrasi production (ganti placeholder echo dengan subcommand migrate sungguhan)</t>
        </is>
      </c>
      <c r="E2" s="11" t="inlineStr">
        <is>
          <t>C1</t>
        </is>
      </c>
      <c r="F2" s="13" t="inlineStr">
        <is>
          <t>Must</t>
        </is>
      </c>
      <c r="G2" s="14" t="inlineStr">
        <is>
          <t>Selesai</t>
        </is>
      </c>
      <c r="H2" s="11" t="inlineStr"/>
      <c r="I2" s="11" t="n">
        <v>1</v>
      </c>
      <c r="J2" s="12" t="inlineStr">
        <is>
          <t>internal/migrate/migrate.go + deploy-production.yml</t>
        </is>
      </c>
    </row>
    <row r="3">
      <c r="A3" s="15" t="n">
        <v>2</v>
      </c>
      <c r="B3" s="15" t="inlineStr">
        <is>
          <t>Sprint 0</t>
        </is>
      </c>
      <c r="C3" s="15" t="inlineStr">
        <is>
          <t>CI/CD</t>
        </is>
      </c>
      <c r="D3" s="16" t="inlineStr">
        <is>
          <t>Tambah docker login ghcr.io di VPS sebelum pull image</t>
        </is>
      </c>
      <c r="E3" s="15" t="inlineStr">
        <is>
          <t>C2</t>
        </is>
      </c>
      <c r="F3" s="13" t="inlineStr">
        <is>
          <t>Must</t>
        </is>
      </c>
      <c r="G3" s="14" t="inlineStr">
        <is>
          <t>Selesai</t>
        </is>
      </c>
      <c r="H3" s="15" t="inlineStr"/>
      <c r="I3" s="15" t="n">
        <v>0.5</v>
      </c>
      <c r="J3" s="16" t="inlineStr">
        <is>
          <t>deploy-staging.yml &amp; deploy-production.yml</t>
        </is>
      </c>
    </row>
    <row r="4">
      <c r="A4" s="11" t="n">
        <v>3</v>
      </c>
      <c r="B4" s="11" t="inlineStr">
        <is>
          <t>Sprint 0</t>
        </is>
      </c>
      <c r="C4" s="11" t="inlineStr">
        <is>
          <t>CI/CD</t>
        </is>
      </c>
      <c r="D4" s="12" t="inlineStr">
        <is>
          <t>Terapkan migrasi ke DB test sebelum go test di CI + tulis test pertama</t>
        </is>
      </c>
      <c r="E4" s="11" t="inlineStr">
        <is>
          <t>C3</t>
        </is>
      </c>
      <c r="F4" s="13" t="inlineStr">
        <is>
          <t>Must</t>
        </is>
      </c>
      <c r="G4" s="14" t="inlineStr">
        <is>
          <t>Selesai</t>
        </is>
      </c>
      <c r="H4" s="11" t="inlineStr"/>
      <c r="I4" s="11" t="n">
        <v>1</v>
      </c>
      <c r="J4" s="12" t="inlineStr">
        <is>
          <t>health_test.go</t>
        </is>
      </c>
    </row>
    <row r="5">
      <c r="A5" s="15" t="n">
        <v>4</v>
      </c>
      <c r="B5" s="15" t="inlineStr">
        <is>
          <t>Sprint 0</t>
        </is>
      </c>
      <c r="C5" s="15" t="inlineStr">
        <is>
          <t>CI/CD</t>
        </is>
      </c>
      <c r="D5" s="16" t="inlineStr">
        <is>
          <t>Tambah tag :latest sebagai fallback registry dari branch main</t>
        </is>
      </c>
      <c r="E5" s="15" t="inlineStr">
        <is>
          <t>H1</t>
        </is>
      </c>
      <c r="F5" s="17" t="inlineStr">
        <is>
          <t>Should</t>
        </is>
      </c>
      <c r="G5" s="14" t="inlineStr">
        <is>
          <t>Selesai</t>
        </is>
      </c>
      <c r="H5" s="15" t="inlineStr"/>
      <c r="I5" s="15" t="n">
        <v>0.5</v>
      </c>
      <c r="J5" s="16" t="inlineStr">
        <is>
          <t>ci.yml build-images</t>
        </is>
      </c>
    </row>
    <row r="6">
      <c r="A6" s="11" t="n">
        <v>5</v>
      </c>
      <c r="B6" s="11" t="inlineStr">
        <is>
          <t>Sprint 0</t>
        </is>
      </c>
      <c r="C6" s="11" t="inlineStr">
        <is>
          <t>CI/CD</t>
        </is>
      </c>
      <c r="D6" s="12" t="inlineStr">
        <is>
          <t>Ganti placeholder OWNER dengan variabel GHCR_REPO</t>
        </is>
      </c>
      <c r="E6" s="11" t="inlineStr">
        <is>
          <t>H2</t>
        </is>
      </c>
      <c r="F6" s="17" t="inlineStr">
        <is>
          <t>Should</t>
        </is>
      </c>
      <c r="G6" s="14" t="inlineStr">
        <is>
          <t>Selesai</t>
        </is>
      </c>
      <c r="H6" s="11" t="inlineStr"/>
      <c r="I6" s="11" t="n">
        <v>0.5</v>
      </c>
      <c r="J6" s="12" t="inlineStr">
        <is>
          <t>docker-compose.staging.yml &amp; .prod.yml</t>
        </is>
      </c>
    </row>
    <row r="7">
      <c r="A7" s="15" t="n">
        <v>6</v>
      </c>
      <c r="B7" s="15" t="inlineStr">
        <is>
          <t>Sprint 0</t>
        </is>
      </c>
      <c r="C7" s="15" t="inlineStr">
        <is>
          <t>Infra</t>
        </is>
      </c>
      <c r="D7" s="16" t="inlineStr">
        <is>
          <t>Lengkapi server block 443 + TLS di Nginx production</t>
        </is>
      </c>
      <c r="E7" s="15" t="inlineStr">
        <is>
          <t>H3</t>
        </is>
      </c>
      <c r="F7" s="13" t="inlineStr">
        <is>
          <t>Must</t>
        </is>
      </c>
      <c r="G7" s="14" t="inlineStr">
        <is>
          <t>Selesai</t>
        </is>
      </c>
      <c r="H7" s="15" t="inlineStr"/>
      <c r="I7" s="15" t="n">
        <v>1</v>
      </c>
      <c r="J7" s="16" t="inlineStr">
        <is>
          <t>docker/nginx/conf.d/production/jeonme.conf</t>
        </is>
      </c>
    </row>
    <row r="8">
      <c r="A8" s="11" t="n">
        <v>7</v>
      </c>
      <c r="B8" s="11" t="inlineStr">
        <is>
          <t>Sprint 0</t>
        </is>
      </c>
      <c r="C8" s="11" t="inlineStr">
        <is>
          <t>CI/CD</t>
        </is>
      </c>
      <c r="D8" s="12" t="inlineStr">
        <is>
          <t>Ganti npm install dengan npm ci (reproducible build)</t>
        </is>
      </c>
      <c r="E8" s="11" t="inlineStr">
        <is>
          <t>M1</t>
        </is>
      </c>
      <c r="F8" s="17" t="inlineStr">
        <is>
          <t>Should</t>
        </is>
      </c>
      <c r="G8" s="14" t="inlineStr">
        <is>
          <t>Selesai</t>
        </is>
      </c>
      <c r="H8" s="11" t="inlineStr"/>
      <c r="I8" s="11" t="n">
        <v>0.5</v>
      </c>
      <c r="J8" s="12" t="inlineStr">
        <is>
          <t>ci.yml &amp; Dockerfile web</t>
        </is>
      </c>
    </row>
    <row r="9">
      <c r="A9" s="15" t="n">
        <v>8</v>
      </c>
      <c r="B9" s="15" t="inlineStr">
        <is>
          <t>Sprint 0</t>
        </is>
      </c>
      <c r="C9" s="15" t="inlineStr">
        <is>
          <t>CI/CD</t>
        </is>
      </c>
      <c r="D9" s="16" t="inlineStr">
        <is>
          <t>Health check deploy pakai retry berjeda, bukan sleep tunggal</t>
        </is>
      </c>
      <c r="E9" s="15" t="inlineStr">
        <is>
          <t>M2</t>
        </is>
      </c>
      <c r="F9" s="17" t="inlineStr">
        <is>
          <t>Should</t>
        </is>
      </c>
      <c r="G9" s="14" t="inlineStr">
        <is>
          <t>Selesai</t>
        </is>
      </c>
      <c r="H9" s="15" t="inlineStr"/>
      <c r="I9" s="15" t="n">
        <v>0.5</v>
      </c>
      <c r="J9" s="16" t="inlineStr">
        <is>
          <t>deploy-*.yml</t>
        </is>
      </c>
    </row>
    <row r="10">
      <c r="A10" s="11" t="n">
        <v>9</v>
      </c>
      <c r="B10" s="11" t="inlineStr">
        <is>
          <t>Sprint 0</t>
        </is>
      </c>
      <c r="C10" s="11" t="inlineStr">
        <is>
          <t>CI/CD</t>
        </is>
      </c>
      <c r="D10" s="12" t="inlineStr">
        <is>
          <t>Tambah govulncheck &amp; npm audit non-blocking ke pipeline</t>
        </is>
      </c>
      <c r="E10" s="11" t="inlineStr">
        <is>
          <t>M3</t>
        </is>
      </c>
      <c r="F10" s="18" t="inlineStr">
        <is>
          <t>Could</t>
        </is>
      </c>
      <c r="G10" s="14" t="inlineStr">
        <is>
          <t>Selesai</t>
        </is>
      </c>
      <c r="H10" s="11" t="inlineStr"/>
      <c r="I10" s="11" t="n">
        <v>0.5</v>
      </c>
      <c r="J10" s="12" t="inlineStr">
        <is>
          <t>ci.yml</t>
        </is>
      </c>
    </row>
    <row r="11">
      <c r="A11" s="15" t="n">
        <v>10</v>
      </c>
      <c r="B11" s="15" t="inlineStr">
        <is>
          <t>Sprint 0</t>
        </is>
      </c>
      <c r="C11" s="15" t="inlineStr">
        <is>
          <t>BE</t>
        </is>
      </c>
      <c r="D11" s="16" t="inlineStr">
        <is>
          <t>Generate &amp; commit go.sum, verifikasi go build ./... hijau</t>
        </is>
      </c>
      <c r="E11" s="15" t="inlineStr">
        <is>
          <t>M4</t>
        </is>
      </c>
      <c r="F11" s="13" t="inlineStr">
        <is>
          <t>Must</t>
        </is>
      </c>
      <c r="G11" s="14" t="inlineStr">
        <is>
          <t>Selesai</t>
        </is>
      </c>
      <c r="H11" s="15" t="inlineStr"/>
      <c r="I11" s="15" t="n">
        <v>0.5</v>
      </c>
      <c r="J11" s="16" t="inlineStr">
        <is>
          <t>apps/api/go.sum</t>
        </is>
      </c>
    </row>
    <row r="12">
      <c r="A12" s="11" t="n">
        <v>11</v>
      </c>
      <c r="B12" s="11" t="inlineStr">
        <is>
          <t>Sprint 0</t>
        </is>
      </c>
      <c r="C12" s="11" t="inlineStr">
        <is>
          <t>Dokumentasi</t>
        </is>
      </c>
      <c r="D12" s="12" t="inlineStr">
        <is>
          <t>Sinkronkan CICD-GUIDE.md dengan implementasi Go/Gin aktual</t>
        </is>
      </c>
      <c r="E12" s="11" t="inlineStr">
        <is>
          <t>L1</t>
        </is>
      </c>
      <c r="F12" s="18" t="inlineStr">
        <is>
          <t>Could</t>
        </is>
      </c>
      <c r="G12" s="14" t="inlineStr">
        <is>
          <t>Selesai</t>
        </is>
      </c>
      <c r="H12" s="11" t="inlineStr"/>
      <c r="I12" s="11" t="n">
        <v>1</v>
      </c>
      <c r="J12" s="12" t="inlineStr">
        <is>
          <t>CICD-GUIDE.md</t>
        </is>
      </c>
    </row>
    <row r="13">
      <c r="A13" s="15" t="n">
        <v>12</v>
      </c>
      <c r="B13" s="15" t="inlineStr">
        <is>
          <t>Sprint 0</t>
        </is>
      </c>
      <c r="C13" s="15" t="inlineStr">
        <is>
          <t>CI/CD</t>
        </is>
      </c>
      <c r="D13" s="16" t="inlineStr">
        <is>
          <t>Buat skrip rollback manual (mitigasi sementara sebelum workflow_dispatch)</t>
        </is>
      </c>
      <c r="E13" s="15" t="inlineStr">
        <is>
          <t>L2</t>
        </is>
      </c>
      <c r="F13" s="17" t="inlineStr">
        <is>
          <t>Should</t>
        </is>
      </c>
      <c r="G13" s="14" t="inlineStr">
        <is>
          <t>Selesai</t>
        </is>
      </c>
      <c r="H13" s="15" t="inlineStr"/>
      <c r="I13" s="15" t="n">
        <v>0.5</v>
      </c>
      <c r="J13" s="16" t="inlineStr">
        <is>
          <t>scripts/rollback.sh</t>
        </is>
      </c>
    </row>
    <row r="14">
      <c r="A14" s="11" t="n">
        <v>13</v>
      </c>
      <c r="B14" s="11" t="inlineStr">
        <is>
          <t>Sprint 0</t>
        </is>
      </c>
      <c r="C14" s="11" t="inlineStr">
        <is>
          <t>BE</t>
        </is>
      </c>
      <c r="D14" s="12" t="inlineStr">
        <is>
          <t>Tambah golangci-lint ke pipeline (linting Go masih minim, hanya go vet)</t>
        </is>
      </c>
      <c r="E14" s="11" t="inlineStr">
        <is>
          <t>L3</t>
        </is>
      </c>
      <c r="F14" s="18" t="inlineStr">
        <is>
          <t>Could</t>
        </is>
      </c>
      <c r="G14" s="14" t="inlineStr">
        <is>
          <t>Selesai</t>
        </is>
      </c>
      <c r="H14" s="11" t="inlineStr"/>
      <c r="I14" s="11" t="n">
        <v>0.5</v>
      </c>
      <c r="J14" s="12" t="inlineStr">
        <is>
          <t>Aktif di ci.yml sebagai blocking gate, install-mode: goinstall</t>
        </is>
      </c>
    </row>
    <row r="15">
      <c r="A15" s="15" t="n">
        <v>14</v>
      </c>
      <c r="B15" s="15" t="inlineStr">
        <is>
          <t>Sprint 0</t>
        </is>
      </c>
      <c r="C15" s="15" t="inlineStr">
        <is>
          <t>BE</t>
        </is>
      </c>
      <c r="D15" s="16" t="inlineStr">
        <is>
          <t>Scaffold subcommand worker + job queue (asynq) untuk proses async</t>
        </is>
      </c>
      <c r="E15" s="15" t="inlineStr">
        <is>
          <t>L4</t>
        </is>
      </c>
      <c r="F15" s="17" t="inlineStr">
        <is>
          <t>Should</t>
        </is>
      </c>
      <c r="G15" s="19" t="inlineStr">
        <is>
          <t>Selesai</t>
        </is>
      </c>
      <c r="H15" s="15" t="inlineStr"/>
      <c r="I15" s="15" t="n">
        <v>2</v>
      </c>
      <c r="J15" s="16" t="inlineStr">
        <is>
          <t>internal/queue (task asynq + payload), internal/mailer (SMTP, soft-fail log-only kalau SMTP_HOST kosong), internal/worker (handler order.paid), subcommand `./api worker` (proses terpisah dari server HTTP, docker-compose service `worker`). Diverifikasi end-to-end: server+worker nyata dijalankan, webhook Midtrans -&gt; enqueue Redis -&gt; worker memproses -&gt; log notifikasi terkirim.</t>
        </is>
      </c>
    </row>
    <row r="16">
      <c r="A16" s="11" t="n">
        <v>15</v>
      </c>
      <c r="B16" s="11" t="inlineStr">
        <is>
          <t>Sprint 0</t>
        </is>
      </c>
      <c r="C16" s="11" t="inlineStr">
        <is>
          <t>Infra</t>
        </is>
      </c>
      <c r="D16" s="12" t="inlineStr">
        <is>
          <t>Push kode ke GitHub (git init, remote, push pertama)</t>
        </is>
      </c>
      <c r="E16" s="11" t="inlineStr">
        <is>
          <t>SETUP-GUIDE §1</t>
        </is>
      </c>
      <c r="F16" s="13" t="inlineStr">
        <is>
          <t>Must</t>
        </is>
      </c>
      <c r="G16" s="14" t="inlineStr">
        <is>
          <t>Selesai</t>
        </is>
      </c>
      <c r="H16" s="11" t="inlineStr"/>
      <c r="I16" s="11" t="n">
        <v>0.5</v>
      </c>
      <c r="J16" s="12" t="inlineStr">
        <is>
          <t>Sudah push ke github.com/Ijeon-Corp/JeonMe</t>
        </is>
      </c>
    </row>
    <row r="17">
      <c r="A17" s="15" t="n">
        <v>16</v>
      </c>
      <c r="B17" s="15" t="inlineStr">
        <is>
          <t>Sprint 0</t>
        </is>
      </c>
      <c r="C17" s="15" t="inlineStr">
        <is>
          <t>Infra</t>
        </is>
      </c>
      <c r="D17" s="16" t="inlineStr">
        <is>
          <t>Provisioning 2 VPS (staging &amp; production) via scripts/provision-vps.sh</t>
        </is>
      </c>
      <c r="E17" s="15" t="inlineStr">
        <is>
          <t>SETUP-GUIDE §2</t>
        </is>
      </c>
      <c r="F17" s="13" t="inlineStr">
        <is>
          <t>Must</t>
        </is>
      </c>
      <c r="G17" s="14" t="inlineStr">
        <is>
          <t>Selesai</t>
        </is>
      </c>
      <c r="H17" s="15" t="inlineStr"/>
      <c r="I17" s="15" t="n">
        <v>1</v>
      </c>
      <c r="J17" s="16" t="inlineStr">
        <is>
          <t>Kedua environment (staging + production) live di VPS 103.147.33.34</t>
        </is>
      </c>
    </row>
    <row r="18">
      <c r="A18" s="11" t="n">
        <v>17</v>
      </c>
      <c r="B18" s="11" t="inlineStr">
        <is>
          <t>Sprint 0</t>
        </is>
      </c>
      <c r="C18" s="11" t="inlineStr">
        <is>
          <t>Infra</t>
        </is>
      </c>
      <c r="D18" s="12" t="inlineStr">
        <is>
          <t>Isi .env di kedua VPS (GHCR_REPO, JWT_SECRET, dsb)</t>
        </is>
      </c>
      <c r="E18" s="11" t="inlineStr">
        <is>
          <t>SETUP-GUIDE §3</t>
        </is>
      </c>
      <c r="F18" s="13" t="inlineStr">
        <is>
          <t>Must</t>
        </is>
      </c>
      <c r="G18" s="14" t="inlineStr">
        <is>
          <t>Selesai</t>
        </is>
      </c>
      <c r="H18" s="11" t="inlineStr"/>
      <c r="I18" s="11" t="n">
        <v>0.5</v>
      </c>
      <c r="J18" s="12" t="inlineStr">
        <is>
          <t>Terisi, lihat SETUP-GUIDE.md</t>
        </is>
      </c>
    </row>
    <row r="19">
      <c r="A19" s="15" t="n">
        <v>18</v>
      </c>
      <c r="B19" s="15" t="inlineStr">
        <is>
          <t>Sprint 0</t>
        </is>
      </c>
      <c r="C19" s="15" t="inlineStr">
        <is>
          <t>Infra</t>
        </is>
      </c>
      <c r="D19" s="16" t="inlineStr">
        <is>
          <t>Buat token GHCR &amp; uji docker login manual di VPS</t>
        </is>
      </c>
      <c r="E19" s="15" t="inlineStr">
        <is>
          <t>SETUP-GUIDE §4</t>
        </is>
      </c>
      <c r="F19" s="13" t="inlineStr">
        <is>
          <t>Must</t>
        </is>
      </c>
      <c r="G19" s="14" t="inlineStr">
        <is>
          <t>Selesai</t>
        </is>
      </c>
      <c r="H19" s="15" t="inlineStr"/>
      <c r="I19" s="15" t="n">
        <v>0.5</v>
      </c>
      <c r="J19" s="16" t="inlineStr">
        <is>
          <t>Token GHCR aktif, dipakai CI/CD</t>
        </is>
      </c>
    </row>
    <row r="20">
      <c r="A20" s="11" t="n">
        <v>19</v>
      </c>
      <c r="B20" s="11" t="inlineStr">
        <is>
          <t>Sprint 0</t>
        </is>
      </c>
      <c r="C20" s="11" t="inlineStr">
        <is>
          <t>Infra</t>
        </is>
      </c>
      <c r="D20" s="12" t="inlineStr">
        <is>
          <t>Setel GitHub Secrets &amp; Environments (staging + production + required reviewer)</t>
        </is>
      </c>
      <c r="E20" s="11" t="inlineStr">
        <is>
          <t>SETUP-GUIDE §5</t>
        </is>
      </c>
      <c r="F20" s="13" t="inlineStr">
        <is>
          <t>Must</t>
        </is>
      </c>
      <c r="G20" s="14" t="inlineStr">
        <is>
          <t>Selesai</t>
        </is>
      </c>
      <c r="H20" s="11" t="inlineStr"/>
      <c r="I20" s="11" t="n">
        <v>0.5</v>
      </c>
      <c r="J20" s="12" t="inlineStr">
        <is>
          <t>Secrets &amp; Environments (staging/production) terkonfigurasi, required reviewer aktif untuk production</t>
        </is>
      </c>
    </row>
    <row r="21">
      <c r="A21" s="15" t="n">
        <v>20</v>
      </c>
      <c r="B21" s="15" t="inlineStr">
        <is>
          <t>Sprint 0</t>
        </is>
      </c>
      <c r="C21" s="15" t="inlineStr">
        <is>
          <t>Infra</t>
        </is>
      </c>
      <c r="D21" s="16" t="inlineStr">
        <is>
          <t>Arahkan DNS Cloudflare (jeonme.com, www, staging.jeonme.com)</t>
        </is>
      </c>
      <c r="E21" s="15" t="inlineStr">
        <is>
          <t>SETUP-GUIDE §6</t>
        </is>
      </c>
      <c r="F21" s="13" t="inlineStr">
        <is>
          <t>Must</t>
        </is>
      </c>
      <c r="G21" s="14" t="inlineStr">
        <is>
          <t>Selesai</t>
        </is>
      </c>
      <c r="H21" s="15" t="inlineStr"/>
      <c r="I21" s="15" t="n">
        <v>0.5</v>
      </c>
      <c r="J21" s="16" t="inlineStr">
        <is>
          <t>DNS Cloudflare sudah diarahkan, live</t>
        </is>
      </c>
    </row>
    <row r="22">
      <c r="A22" s="11" t="n">
        <v>21</v>
      </c>
      <c r="B22" s="11" t="inlineStr">
        <is>
          <t>Sprint 0</t>
        </is>
      </c>
      <c r="C22" s="11" t="inlineStr">
        <is>
          <t>Infra</t>
        </is>
      </c>
      <c r="D22" s="12" t="inlineStr">
        <is>
          <t>Terbitkan sertifikat TLS production via scripts/issue-certbot-cert.sh</t>
        </is>
      </c>
      <c r="E22" s="11" t="inlineStr">
        <is>
          <t>SETUP-GUIDE §7</t>
        </is>
      </c>
      <c r="F22" s="13" t="inlineStr">
        <is>
          <t>Must</t>
        </is>
      </c>
      <c r="G22" s="14" t="inlineStr">
        <is>
          <t>Selesai</t>
        </is>
      </c>
      <c r="H22" s="11" t="inlineStr"/>
      <c r="I22" s="11" t="n">
        <v>0.5</v>
      </c>
      <c r="J22" s="12" t="inlineStr">
        <is>
          <t>Sertifikat TLS terbit via certbot, auto-renew lewat certbot.timer</t>
        </is>
      </c>
    </row>
    <row r="23">
      <c r="A23" s="15" t="n">
        <v>22</v>
      </c>
      <c r="B23" s="15" t="inlineStr">
        <is>
          <t>Sprint 0</t>
        </is>
      </c>
      <c r="C23" s="15" t="inlineStr">
        <is>
          <t>Infra</t>
        </is>
      </c>
      <c r="D23" s="16" t="inlineStr">
        <is>
          <t>Deploy pertama ke staging (push ke main) &amp; verifikasi /api/health</t>
        </is>
      </c>
      <c r="E23" s="15" t="inlineStr">
        <is>
          <t>SETUP-GUIDE §8</t>
        </is>
      </c>
      <c r="F23" s="13" t="inlineStr">
        <is>
          <t>Must</t>
        </is>
      </c>
      <c r="G23" s="14" t="inlineStr">
        <is>
          <t>Selesai</t>
        </is>
      </c>
      <c r="H23" s="15" t="inlineStr"/>
      <c r="I23" s="15" t="n">
        <v>0.5</v>
      </c>
      <c r="J23" s="16" t="inlineStr">
        <is>
          <t>staging.jeonme.com live, /api/health terverifikasi</t>
        </is>
      </c>
    </row>
    <row r="24">
      <c r="A24" s="11" t="n">
        <v>23</v>
      </c>
      <c r="B24" s="11" t="inlineStr">
        <is>
          <t>Sprint 0</t>
        </is>
      </c>
      <c r="C24" s="11" t="inlineStr">
        <is>
          <t>Infra</t>
        </is>
      </c>
      <c r="D24" s="12" t="inlineStr">
        <is>
          <t>Deploy pertama ke production (tag v0.1.0) &amp; verifikasi /api/health</t>
        </is>
      </c>
      <c r="E24" s="11" t="inlineStr">
        <is>
          <t>SETUP-GUIDE §9</t>
        </is>
      </c>
      <c r="F24" s="13" t="inlineStr">
        <is>
          <t>Must</t>
        </is>
      </c>
      <c r="G24" s="14" t="inlineStr">
        <is>
          <t>Selesai</t>
        </is>
      </c>
      <c r="H24" s="11" t="inlineStr"/>
      <c r="I24" s="11" t="n">
        <v>0.5</v>
      </c>
      <c r="J24" s="12" t="inlineStr">
        <is>
          <t>jeonme.com live sejak rilis v0.1.0, /api/health terverifikasi</t>
        </is>
      </c>
    </row>
    <row r="25">
      <c r="A25" s="15" t="n">
        <v>24</v>
      </c>
      <c r="B25" s="15" t="inlineStr">
        <is>
          <t>Sprint 1</t>
        </is>
      </c>
      <c r="C25" s="15" t="inlineStr">
        <is>
          <t>BE</t>
        </is>
      </c>
      <c r="D25" s="16" t="inlineStr">
        <is>
          <t>OAuth Google login</t>
        </is>
      </c>
      <c r="E25" s="15" t="inlineStr">
        <is>
          <t>REQ-F-101</t>
        </is>
      </c>
      <c r="F25" s="13" t="inlineStr">
        <is>
          <t>Must</t>
        </is>
      </c>
      <c r="G25" s="20" t="inlineStr">
        <is>
          <t>Diblokir</t>
        </is>
      </c>
      <c r="H25" s="15" t="inlineStr"/>
      <c r="I25" s="15" t="n">
        <v>2</v>
      </c>
      <c r="J25" s="16" t="inlineStr">
        <is>
          <t>Butuh GOOGLE_CLIENT_ID/SECRET dari Google Cloud Console (belum ada) -- endpoint lain di AuthHandler sudah siap menampung begitu credential tersedia</t>
        </is>
      </c>
    </row>
    <row r="26">
      <c r="A26" s="11" t="n">
        <v>25</v>
      </c>
      <c r="B26" s="11" t="inlineStr">
        <is>
          <t>Sprint 1</t>
        </is>
      </c>
      <c r="C26" s="11" t="inlineStr">
        <is>
          <t>BE</t>
        </is>
      </c>
      <c r="D26" s="12" t="inlineStr">
        <is>
          <t>Reset password via email</t>
        </is>
      </c>
      <c r="E26" s="11" t="inlineStr">
        <is>
          <t>REQ-F-103</t>
        </is>
      </c>
      <c r="F26" s="13" t="inlineStr">
        <is>
          <t>Must</t>
        </is>
      </c>
      <c r="G26" s="14" t="inlineStr">
        <is>
          <t>Selesai</t>
        </is>
      </c>
      <c r="H26" s="11" t="inlineStr"/>
      <c r="I26" s="11" t="n">
        <v>1</v>
      </c>
      <c r="J26" s="12" t="inlineStr">
        <is>
          <t>POST /auth/password-reset/request+confirm, token sekali pakai TTL 1 jam. Pengiriman email sungguhan masih TODO (belum ada provider SMTP)</t>
        </is>
      </c>
    </row>
    <row r="27">
      <c r="A27" s="15" t="n">
        <v>26</v>
      </c>
      <c r="B27" s="15" t="inlineStr">
        <is>
          <t>Sprint 1</t>
        </is>
      </c>
      <c r="C27" s="15" t="inlineStr">
        <is>
          <t>BE</t>
        </is>
      </c>
      <c r="D27" s="16" t="inlineStr">
        <is>
          <t>Verifikasi email sebelum kreator terima pembayaran</t>
        </is>
      </c>
      <c r="E27" s="15" t="inlineStr">
        <is>
          <t>REQ-F-104</t>
        </is>
      </c>
      <c r="F27" s="13" t="inlineStr">
        <is>
          <t>Must</t>
        </is>
      </c>
      <c r="G27" s="14" t="inlineStr">
        <is>
          <t>Selesai</t>
        </is>
      </c>
      <c r="H27" s="15" t="inlineStr"/>
      <c r="I27" s="15" t="n">
        <v>1.5</v>
      </c>
      <c r="J27" s="16" t="inlineStr">
        <is>
          <t>POST /auth/email-verification/request+confirm, token TTL 24 jam. Sama seperti reset password, pengiriman email masih TODO</t>
        </is>
      </c>
    </row>
    <row r="28">
      <c r="A28" s="11" t="n">
        <v>27</v>
      </c>
      <c r="B28" s="11" t="inlineStr">
        <is>
          <t>Sprint 1</t>
        </is>
      </c>
      <c r="C28" s="11" t="inlineStr">
        <is>
          <t>BE</t>
        </is>
      </c>
      <c r="D28" s="12" t="inlineStr">
        <is>
          <t>Revoke sesi / logout semua perangkat</t>
        </is>
      </c>
      <c r="E28" s="11" t="inlineStr">
        <is>
          <t>REQ-F-106</t>
        </is>
      </c>
      <c r="F28" s="17" t="inlineStr">
        <is>
          <t>Should</t>
        </is>
      </c>
      <c r="G28" s="14" t="inlineStr">
        <is>
          <t>Selesai</t>
        </is>
      </c>
      <c r="H28" s="11" t="inlineStr"/>
      <c r="I28" s="11" t="n">
        <v>1</v>
      </c>
      <c r="J28" s="12" t="inlineStr">
        <is>
          <t>POST /auth/logout menaruh jti ke denylist Redis, AuthRequired menolak token yang jti-nya di-revoke. Diverifikasi: token ditolak 401 setelah logout</t>
        </is>
      </c>
    </row>
    <row r="29">
      <c r="A29" s="15" t="n">
        <v>28</v>
      </c>
      <c r="B29" s="15" t="inlineStr">
        <is>
          <t>Sprint 1</t>
        </is>
      </c>
      <c r="C29" s="15" t="inlineStr">
        <is>
          <t>BE+FE</t>
        </is>
      </c>
      <c r="D29" s="16" t="inlineStr">
        <is>
          <t>CRUD tautan (tambah/edit/hapus/urutkan drag-and-drop)</t>
        </is>
      </c>
      <c r="E29" s="15" t="inlineStr">
        <is>
          <t>REQ-F-202</t>
        </is>
      </c>
      <c r="F29" s="13" t="inlineStr">
        <is>
          <t>Must</t>
        </is>
      </c>
      <c r="G29" s="14" t="inlineStr">
        <is>
          <t>Selesai</t>
        </is>
      </c>
      <c r="H29" s="15" t="inlineStr"/>
      <c r="I29" s="15" t="n">
        <v>3</v>
      </c>
      <c r="J29" s="16" t="inlineStr">
        <is>
          <t>CRUD penuh + reorder drag-and-drop di dashboard/links, ownership ditegakkan (user lain 404 saat coba edit/hapus tautan orang lain)</t>
        </is>
      </c>
    </row>
    <row r="30">
      <c r="A30" s="11" t="n">
        <v>29</v>
      </c>
      <c r="B30" s="11" t="inlineStr">
        <is>
          <t>Sprint 1</t>
        </is>
      </c>
      <c r="C30" s="11" t="inlineStr">
        <is>
          <t>BE+FE</t>
        </is>
      </c>
      <c r="D30" s="12" t="inlineStr">
        <is>
          <t>Nonaktifkan sementara tautan tanpa menghapus</t>
        </is>
      </c>
      <c r="E30" s="11" t="inlineStr">
        <is>
          <t>REQ-F-203</t>
        </is>
      </c>
      <c r="F30" s="17" t="inlineStr">
        <is>
          <t>Should</t>
        </is>
      </c>
      <c r="G30" s="14" t="inlineStr">
        <is>
          <t>Selesai</t>
        </is>
      </c>
      <c r="H30" s="11" t="inlineStr"/>
      <c r="I30" s="11" t="n">
        <v>0.5</v>
      </c>
      <c r="J30" s="12" t="inlineStr">
        <is>
          <t>Bagian dari update Links -- toggle is_active di UI yang sama</t>
        </is>
      </c>
    </row>
    <row r="31">
      <c r="A31" s="15" t="n">
        <v>30</v>
      </c>
      <c r="B31" s="15" t="inlineStr">
        <is>
          <t>Sprint 1</t>
        </is>
      </c>
      <c r="C31" s="15" t="inlineStr">
        <is>
          <t>BE+FE</t>
        </is>
      </c>
      <c r="D31" s="16" t="inlineStr">
        <is>
          <t>Pilihan tema (warna, font, layout) dari preset</t>
        </is>
      </c>
      <c r="E31" s="15" t="inlineStr">
        <is>
          <t>REQ-F-204</t>
        </is>
      </c>
      <c r="F31" s="17" t="inlineStr">
        <is>
          <t>Should</t>
        </is>
      </c>
      <c r="G31" s="14" t="inlineStr">
        <is>
          <t>Selesai</t>
        </is>
      </c>
      <c r="H31" s="15" t="inlineStr"/>
      <c r="I31" s="15" t="n">
        <v>2</v>
      </c>
      <c r="J31" s="16" t="inlineStr">
        <is>
          <t>5 preset (default/midnight/sunrise/forest/minimal) via PATCH /dashboard/page, dipilih dari dashboard/links</t>
        </is>
      </c>
    </row>
    <row r="32">
      <c r="A32" s="11" t="n">
        <v>31</v>
      </c>
      <c r="B32" s="11" t="inlineStr">
        <is>
          <t>Sprint 1</t>
        </is>
      </c>
      <c r="C32" s="11" t="inlineStr">
        <is>
          <t>BE+FE</t>
        </is>
      </c>
      <c r="D32" s="12" t="inlineStr">
        <is>
          <t>Upload foto profil &amp; bio singkat (maks 160 karakter)</t>
        </is>
      </c>
      <c r="E32" s="11" t="inlineStr">
        <is>
          <t>REQ-F-205</t>
        </is>
      </c>
      <c r="F32" s="13" t="inlineStr">
        <is>
          <t>Must</t>
        </is>
      </c>
      <c r="G32" s="20" t="inlineStr">
        <is>
          <t>Selesai</t>
        </is>
      </c>
      <c r="H32" s="11" t="inlineStr"/>
      <c r="I32" s="11" t="n">
        <v>1.5</v>
      </c>
      <c r="J32" s="12" t="inlineStr">
        <is>
          <t>Upload foto profil selesai: POST /dashboard/page/avatar (whitelist jpg/png/webp, maks 5MB), key selalu "avatars/&lt;userID&gt;" (upload ulang menimpa, tidak ada file lama menumpuk). Bucket MinIO diberi kebijakan public-read HANYA untuk prefix avatars/ (EnsurePublicRead) -- avatar_url jadi URL publik PERMANEN (bukan presigned 15 menit seperti file produk), prefix products/ tetap privat (diverifikasi 403). Diuji end-to-end: upload PNG asli, diunduh publik tanpa auth &amp; isinya identik, tampil di GetMyPage &amp; GetPublicPage, upload ulang menimpa URL yang sama, ekstensi tidak dikenal (.exe) ditolak.</t>
        </is>
      </c>
    </row>
    <row r="33">
      <c r="A33" s="15" t="n">
        <v>32</v>
      </c>
      <c r="B33" s="15" t="inlineStr">
        <is>
          <t>Sprint 1</t>
        </is>
      </c>
      <c r="C33" s="15" t="inlineStr">
        <is>
          <t>FE</t>
        </is>
      </c>
      <c r="D33" s="16" t="inlineStr">
        <is>
          <t>Meta tag Open Graph di halaman publik</t>
        </is>
      </c>
      <c r="E33" s="15" t="inlineStr">
        <is>
          <t>REQ-F-206</t>
        </is>
      </c>
      <c r="F33" s="17" t="inlineStr">
        <is>
          <t>Should</t>
        </is>
      </c>
      <c r="G33" s="14" t="inlineStr">
        <is>
          <t>Selesai</t>
        </is>
      </c>
      <c r="H33" s="15" t="inlineStr"/>
      <c r="I33" s="15" t="n">
        <v>0.5</v>
      </c>
      <c r="J33" s="16" t="inlineStr">
        <is>
          <t>generateMetadata (OpenGraph + Twitter card) di app/[username]/page.tsx</t>
        </is>
      </c>
    </row>
    <row r="34">
      <c r="A34" s="11" t="n">
        <v>33</v>
      </c>
      <c r="B34" s="11" t="inlineStr">
        <is>
          <t>Sprint 1</t>
        </is>
      </c>
      <c r="C34" s="11" t="inlineStr">
        <is>
          <t>BE</t>
        </is>
      </c>
      <c r="D34" s="12" t="inlineStr">
        <is>
          <t>Cache Redis untuk halaman publik (endpoint trafik tertinggi)</t>
        </is>
      </c>
      <c r="E34" s="11" t="inlineStr">
        <is>
          <t>NF-01, NF-02</t>
        </is>
      </c>
      <c r="F34" s="13" t="inlineStr">
        <is>
          <t>Must</t>
        </is>
      </c>
      <c r="G34" s="14" t="inlineStr">
        <is>
          <t>Selesai</t>
        </is>
      </c>
      <c r="H34" s="11" t="inlineStr"/>
      <c r="I34" s="11" t="n">
        <v>1.5</v>
      </c>
      <c r="J34" s="12" t="inlineStr">
        <is>
          <t>Cache-aside 30 detik di GetPublicPage (key page:&lt;username&gt;), diverifikasi X-Cache: MISS lalu HIT. Invalidate saat UpdateMyPage</t>
        </is>
      </c>
    </row>
    <row r="35">
      <c r="A35" s="15" t="n">
        <v>34</v>
      </c>
      <c r="B35" s="15" t="inlineStr">
        <is>
          <t>Sprint 1</t>
        </is>
      </c>
      <c r="C35" s="15" t="inlineStr">
        <is>
          <t>FE</t>
        </is>
      </c>
      <c r="D35" s="16" t="inlineStr">
        <is>
          <t>Proteksi sesi login di dashboard (redirect ke /login jika token tidak ada)</t>
        </is>
      </c>
      <c r="E35" s="15" t="inlineStr">
        <is>
          <t>REQ-F-106</t>
        </is>
      </c>
      <c r="F35" s="13" t="inlineStr">
        <is>
          <t>Must</t>
        </is>
      </c>
      <c r="G35" s="14" t="inlineStr">
        <is>
          <t>Selesai</t>
        </is>
      </c>
      <c r="H35" s="15" t="inlineStr"/>
      <c r="I35" s="15" t="n">
        <v>1</v>
      </c>
      <c r="J35" s="16" t="inlineStr">
        <is>
          <t>AuthGuard client component, redirect ke /login kalau token kosong. Diverifikasi end-to-end di browser (register -&gt; dashboard tanpa 404/mismatch)</t>
        </is>
      </c>
    </row>
    <row r="36">
      <c r="A36" s="11" t="n">
        <v>35</v>
      </c>
      <c r="B36" s="11" t="inlineStr">
        <is>
          <t>Sprint 1</t>
        </is>
      </c>
      <c r="C36" s="11" t="inlineStr">
        <is>
          <t>FE</t>
        </is>
      </c>
      <c r="D36" s="12" t="inlineStr">
        <is>
          <t>Buat halaman /dashboard/links, /dashboard/products, /dashboard/balance</t>
        </is>
      </c>
      <c r="E36" s="11" t="inlineStr">
        <is>
          <t>-</t>
        </is>
      </c>
      <c r="F36" s="13" t="inlineStr">
        <is>
          <t>Must</t>
        </is>
      </c>
      <c r="G36" s="14" t="inlineStr">
        <is>
          <t>Selesai</t>
        </is>
      </c>
      <c r="H36" s="11" t="inlineStr"/>
      <c r="I36" s="11" t="n">
        <v>2</v>
      </c>
      <c r="J36" s="12" t="inlineStr">
        <is>
          <t>dashboard/links (pengaturan halaman+tautan), dashboard/products (list+create), dashboard/balance (placeholder menunggu Sprint 4) -- sudah tidak 404</t>
        </is>
      </c>
    </row>
    <row r="37">
      <c r="A37" s="15" t="n">
        <v>36</v>
      </c>
      <c r="B37" s="15" t="inlineStr">
        <is>
          <t>Sprint 2</t>
        </is>
      </c>
      <c r="C37" s="15" t="inlineStr">
        <is>
          <t>BE</t>
        </is>
      </c>
      <c r="D37" s="16" t="inlineStr">
        <is>
          <t>Lengkapi update &amp; delete produk</t>
        </is>
      </c>
      <c r="E37" s="15" t="inlineStr">
        <is>
          <t>REQ-F-301</t>
        </is>
      </c>
      <c r="F37" s="13" t="inlineStr">
        <is>
          <t>Must</t>
        </is>
      </c>
      <c r="G37" s="14" t="inlineStr">
        <is>
          <t>Selesai</t>
        </is>
      </c>
      <c r="H37" s="15" t="inlineStr"/>
      <c r="I37" s="15" t="n">
        <v>1</v>
      </c>
      <c r="J37" s="16" t="inlineStr">
        <is>
          <t>PATCH/DELETE /dashboard/products/:id, ownership ditegakkan (diuji: user lain 404)</t>
        </is>
      </c>
    </row>
    <row r="38">
      <c r="A38" s="11" t="n">
        <v>37</v>
      </c>
      <c r="B38" s="11" t="inlineStr">
        <is>
          <t>Sprint 2</t>
        </is>
      </c>
      <c r="C38" s="11" t="inlineStr">
        <is>
          <t>BE</t>
        </is>
      </c>
      <c r="D38" s="12" t="inlineStr">
        <is>
          <t>Validasi tipe/ukuran file + pemindaian dasar file berbahaya</t>
        </is>
      </c>
      <c r="E38" s="11" t="inlineStr">
        <is>
          <t>REQ-F-302</t>
        </is>
      </c>
      <c r="F38" s="13" t="inlineStr">
        <is>
          <t>Must</t>
        </is>
      </c>
      <c r="G38" s="14" t="inlineStr">
        <is>
          <t>Selesai</t>
        </is>
      </c>
      <c r="H38" s="11" t="inlineStr"/>
      <c r="I38" s="11" t="n">
        <v>2</v>
      </c>
      <c r="J38" s="12" t="inlineStr">
        <is>
          <t>Whitelist ekstensi (pdf/zip/epub/mp4/mp3/mov/gambar) + batas 100MB. 'Pemindaian dasar' = whitelist ekstensi, BUKAN antivirus/malware scan sungguhan -- catat sebagai batasan MVP</t>
        </is>
      </c>
    </row>
    <row r="39">
      <c r="A39" s="15" t="n">
        <v>38</v>
      </c>
      <c r="B39" s="15" t="inlineStr">
        <is>
          <t>Sprint 2</t>
        </is>
      </c>
      <c r="C39" s="15" t="inlineStr">
        <is>
          <t>BE+FE</t>
        </is>
      </c>
      <c r="D39" s="16" t="inlineStr">
        <is>
          <t>Aktifkan/nonaktifkan produk dari tampilan publik</t>
        </is>
      </c>
      <c r="E39" s="15" t="inlineStr">
        <is>
          <t>REQ-F-303</t>
        </is>
      </c>
      <c r="F39" s="13" t="inlineStr">
        <is>
          <t>Must</t>
        </is>
      </c>
      <c r="G39" s="14" t="inlineStr">
        <is>
          <t>Selesai</t>
        </is>
      </c>
      <c r="H39" s="15" t="inlineStr"/>
      <c r="I39" s="15" t="n">
        <v>1</v>
      </c>
      <c r="J39" s="16" t="inlineStr">
        <is>
          <t>is_active=true ditolak (400) selama file_key kosong, diuji end-to-end di browser</t>
        </is>
      </c>
    </row>
    <row r="40">
      <c r="A40" s="11" t="n">
        <v>39</v>
      </c>
      <c r="B40" s="11" t="inlineStr">
        <is>
          <t>Sprint 2</t>
        </is>
      </c>
      <c r="C40" s="11" t="inlineStr">
        <is>
          <t>BE</t>
        </is>
      </c>
      <c r="D40" s="12" t="inlineStr">
        <is>
          <t>Signed URL unduhan aman &amp; kedaluwarsa</t>
        </is>
      </c>
      <c r="E40" s="11" t="inlineStr">
        <is>
          <t>REQ-F-304</t>
        </is>
      </c>
      <c r="F40" s="13" t="inlineStr">
        <is>
          <t>Must</t>
        </is>
      </c>
      <c r="G40" s="14" t="inlineStr">
        <is>
          <t>Selesai</t>
        </is>
      </c>
      <c r="H40" s="11" t="inlineStr"/>
      <c r="I40" s="11" t="n">
        <v>2</v>
      </c>
      <c r="J40" s="12" t="inlineStr">
        <is>
          <t>PresignedGetObject 15 menit, diverifikasi bisa diunduh &amp; benar-benar berisi file yang diunggah</t>
        </is>
      </c>
    </row>
    <row r="41">
      <c r="A41" s="15" t="n">
        <v>40</v>
      </c>
      <c r="B41" s="15" t="inlineStr">
        <is>
          <t>Sprint 2</t>
        </is>
      </c>
      <c r="C41" s="15" t="inlineStr">
        <is>
          <t>Infra</t>
        </is>
      </c>
      <c r="D41" s="16" t="inlineStr">
        <is>
          <t>Integrasi object storage S3-compatible (MinIO self-hosted / Cloudflare R2)</t>
        </is>
      </c>
      <c r="E41" s="15" t="inlineStr">
        <is>
          <t>-</t>
        </is>
      </c>
      <c r="F41" s="13" t="inlineStr">
        <is>
          <t>Must</t>
        </is>
      </c>
      <c r="G41" s="14" t="inlineStr">
        <is>
          <t>Selesai</t>
        </is>
      </c>
      <c r="H41" s="15" t="inlineStr"/>
      <c r="I41" s="15" t="n">
        <v>3</v>
      </c>
      <c r="J41" s="16" t="inlineStr">
        <is>
          <t>MinIO self-hosted (bukan R2) -- service baru di docker-compose.yml/.staging.yml/.prod.yml, bucket auto-dibuat saat startup. Signed download URL (REQ-F-304) diekspos publik lewat subdomain storage.jeonme.com/storage-staging.jeonme.com (Apache reverse-proxy + TLS, port MinIO non-default 29000/29100 karena VPS shared -- lihat bug #14/#15 CICD-GUIDE.md). Diverifikasi end-to-end: upload+aktivasi+unduh via URL publik sungguhan dari luar VPS.</t>
        </is>
      </c>
    </row>
    <row r="42">
      <c r="A42" s="11" t="n">
        <v>41</v>
      </c>
      <c r="B42" s="11" t="inlineStr">
        <is>
          <t>Sprint 2</t>
        </is>
      </c>
      <c r="C42" s="11" t="inlineStr">
        <is>
          <t>BE</t>
        </is>
      </c>
      <c r="D42" s="12" t="inlineStr">
        <is>
          <t>Aktifkan subcommand worker + job queue (asynq berbasis Redis)</t>
        </is>
      </c>
      <c r="E42" s="11" t="inlineStr">
        <is>
          <t>L4</t>
        </is>
      </c>
      <c r="F42" s="17" t="inlineStr">
        <is>
          <t>Should</t>
        </is>
      </c>
      <c r="G42" s="19" t="inlineStr">
        <is>
          <t>Selesai</t>
        </is>
      </c>
      <c r="H42" s="11" t="inlineStr"/>
      <c r="I42" s="11" t="n">
        <v>2</v>
      </c>
      <c r="J42" s="12" t="inlineStr">
        <is>
          <t>Duplikat No.14 (Sprint 0) yang sudah selesai -- lihat catatan di sana untuk detail verifikasi.</t>
        </is>
      </c>
    </row>
    <row r="43">
      <c r="A43" s="15" t="n">
        <v>42</v>
      </c>
      <c r="B43" s="15" t="inlineStr">
        <is>
          <t>Sprint 3</t>
        </is>
      </c>
      <c r="C43" s="15" t="inlineStr">
        <is>
          <t>Ops</t>
        </is>
      </c>
      <c r="D43" s="16" t="inlineStr">
        <is>
          <t>Aktifkan akun sandbox Midtrans (dependensi blocking sebelum verifikasi API sungguhan)</t>
        </is>
      </c>
      <c r="E43" s="15" t="inlineStr">
        <is>
          <t>-</t>
        </is>
      </c>
      <c r="F43" s="13" t="inlineStr">
        <is>
          <t>Must</t>
        </is>
      </c>
      <c r="G43" s="20" t="inlineStr">
        <is>
          <t>Selesai</t>
        </is>
      </c>
      <c r="H43" s="15" t="inlineStr"/>
      <c r="I43" s="15" t="n">
        <v>1</v>
      </c>
      <c r="J43" s="16" t="inlineStr">
        <is>
          <t>Akun sandbox Midtrans aktif -- MIDTRANS_SERVER_KEY/CLIENT_KEY terpasang &amp; terverifikasi end-to-end (checkout sungguhan ke API sandbox Midtrans berhasil, redirect_url nyata diterima) di lokal, staging (staging.jeonme.com), DAN production (jeonme.com). MIDTRANS_IS_PRODUCTION=false di KEDUA environment -- production masih pakai kredensial SANDBOX (uang test, bukan uang sungguhan) sampai ada keputusan bisnis untuk pakai akun Midtrans production sungguhan.</t>
        </is>
      </c>
    </row>
    <row r="44">
      <c r="A44" s="11" t="n">
        <v>43</v>
      </c>
      <c r="B44" s="11" t="inlineStr">
        <is>
          <t>Sprint 3</t>
        </is>
      </c>
      <c r="C44" s="11" t="inlineStr">
        <is>
          <t>BE</t>
        </is>
      </c>
      <c r="D44" s="12" t="inlineStr">
        <is>
          <t>Checkout tanpa akun (cukup email/WhatsApp)</t>
        </is>
      </c>
      <c r="E44" s="11" t="inlineStr">
        <is>
          <t>REQ-F-401</t>
        </is>
      </c>
      <c r="F44" s="13" t="inlineStr">
        <is>
          <t>Must</t>
        </is>
      </c>
      <c r="G44" s="14" t="inlineStr">
        <is>
          <t>Selesai</t>
        </is>
      </c>
      <c r="H44" s="11" t="inlineStr"/>
      <c r="I44" s="11" t="n">
        <v>2</v>
      </c>
      <c r="J44" s="12" t="inlineStr">
        <is>
          <t>POST /api/checkout (order dalam transaksi, rollback kalau Xendit gagal), produk harus is_active=true. Diverifikasi end-to-end (browser + curl)</t>
        </is>
      </c>
    </row>
    <row r="45">
      <c r="A45" s="15" t="n">
        <v>44</v>
      </c>
      <c r="B45" s="15" t="inlineStr">
        <is>
          <t>Sprint 3</t>
        </is>
      </c>
      <c r="C45" s="15" t="inlineStr">
        <is>
          <t>BE</t>
        </is>
      </c>
      <c r="D45" s="16" t="inlineStr">
        <is>
          <t>Integrasi Midtrans -- QRIS, Virtual Account, e-wallet (via Snap API)</t>
        </is>
      </c>
      <c r="E45" s="15" t="inlineStr">
        <is>
          <t>REQ-F-402</t>
        </is>
      </c>
      <c r="F45" s="13" t="inlineStr">
        <is>
          <t>Must</t>
        </is>
      </c>
      <c r="G45" s="20" t="inlineStr">
        <is>
          <t>Selesai</t>
        </is>
      </c>
      <c r="H45" s="15" t="inlineStr"/>
      <c r="I45" s="15" t="n">
        <v>4</v>
      </c>
      <c r="J45" s="16" t="inlineStr">
        <is>
          <t>internal/midtrans/client.go (Snap API) terverifikasi end-to-end melawan API sandbox Midtrans sungguhan -- checkout nyata menghasilkan redirect_url Snap yang valid. Signature webhook (SHA512) &amp; idempotensi diuji dengan webhook nyata. CATATAN: ini masih mode SANDBOX (lihat No.42) -- transaksi uang sungguhan belum bisa diproses sampai akun Midtrans production diaktifkan.</t>
        </is>
      </c>
    </row>
    <row r="46">
      <c r="A46" s="11" t="n">
        <v>45</v>
      </c>
      <c r="B46" s="11" t="inlineStr">
        <is>
          <t>Sprint 3</t>
        </is>
      </c>
      <c r="C46" s="11" t="inlineStr">
        <is>
          <t>BE</t>
        </is>
      </c>
      <c r="D46" s="12" t="inlineStr">
        <is>
          <t>Webhook PSP + verifikasi signature</t>
        </is>
      </c>
      <c r="E46" s="11" t="inlineStr">
        <is>
          <t>REQ-F-403, NF-05</t>
        </is>
      </c>
      <c r="F46" s="13" t="inlineStr">
        <is>
          <t>Must</t>
        </is>
      </c>
      <c r="G46" s="14" t="inlineStr">
        <is>
          <t>Selesai</t>
        </is>
      </c>
      <c r="H46" s="11" t="inlineStr"/>
      <c r="I46" s="11" t="n">
        <v>2</v>
      </c>
      <c r="J46" s="12" t="inlineStr">
        <is>
          <t>POST /api/webhooks/xendit menolak x-callback-token salah (401) sebelum payload diproses. Diuji dengan payload sintetis sesuai format dokumentasi Xendit</t>
        </is>
      </c>
    </row>
    <row r="47">
      <c r="A47" s="15" t="n">
        <v>46</v>
      </c>
      <c r="B47" s="15" t="inlineStr">
        <is>
          <t>Sprint 3</t>
        </is>
      </c>
      <c r="C47" s="15" t="inlineStr">
        <is>
          <t>BE</t>
        </is>
      </c>
      <c r="D47" s="16" t="inlineStr">
        <is>
          <t>Idempotensi webhook (tidak diproses dua kali)</t>
        </is>
      </c>
      <c r="E47" s="15" t="inlineStr">
        <is>
          <t>REQ-F-404</t>
        </is>
      </c>
      <c r="F47" s="13" t="inlineStr">
        <is>
          <t>Must</t>
        </is>
      </c>
      <c r="G47" s="14" t="inlineStr">
        <is>
          <t>Selesai</t>
        </is>
      </c>
      <c r="H47" s="15" t="inlineStr"/>
      <c r="I47" s="15" t="n">
        <v>1</v>
      </c>
      <c r="J47" s="16" t="inlineStr">
        <is>
          <t>Unique index psp_transaction_id (partial, WHERE != ''), INSERT ON CONFLICT DO NOTHING. Diuji: webhook sama dikirim 2x, order tetap benar, tepat 1 baris payments</t>
        </is>
      </c>
    </row>
    <row r="48">
      <c r="A48" s="11" t="n">
        <v>47</v>
      </c>
      <c r="B48" s="11" t="inlineStr">
        <is>
          <t>Sprint 3</t>
        </is>
      </c>
      <c r="C48" s="11" t="inlineStr">
        <is>
          <t>BE</t>
        </is>
      </c>
      <c r="D48" s="12" t="inlineStr">
        <is>
          <t>Notifikasi otomatis email/WhatsApp + link unduhan</t>
        </is>
      </c>
      <c r="E48" s="11" t="inlineStr">
        <is>
          <t>REQ-F-405</t>
        </is>
      </c>
      <c r="F48" s="13" t="inlineStr">
        <is>
          <t>Must</t>
        </is>
      </c>
      <c r="G48" s="19" t="inlineStr">
        <is>
          <t>Sebagian</t>
        </is>
      </c>
      <c r="H48" s="11" t="inlineStr"/>
      <c r="I48" s="11" t="n">
        <v>2</v>
      </c>
      <c r="J48" s="12" t="inlineStr">
        <is>
          <t>Kanal EMAIL selesai &amp; terverifikasi SEPENUHNYA end-to-end dengan kredensial SMTP Gmail sungguhan (bukan simulasi) -- worker berhasil mengirim email nyata ke inbox lewat smtp.gmail.com, dikonfirmasi tanpa error di lokal, staging, dan production. Konektivitas port SMTP 587 dari VPS juga dicek langsung (tidak diblokir provider). Kanal WhatsApp masih BELUM diimplementasi sama sekali.</t>
        </is>
      </c>
    </row>
    <row r="49">
      <c r="A49" s="15" t="n">
        <v>48</v>
      </c>
      <c r="B49" s="15" t="inlineStr">
        <is>
          <t>Sprint 3</t>
        </is>
      </c>
      <c r="C49" s="15" t="inlineStr">
        <is>
          <t>BE+FE</t>
        </is>
      </c>
      <c r="D49" s="16" t="inlineStr">
        <is>
          <t>Pesan gagal bayar yang jelas ke pembeli</t>
        </is>
      </c>
      <c r="E49" s="15" t="inlineStr">
        <is>
          <t>REQ-F-406</t>
        </is>
      </c>
      <c r="F49" s="17" t="inlineStr">
        <is>
          <t>Should</t>
        </is>
      </c>
      <c r="G49" s="14" t="inlineStr">
        <is>
          <t>Selesai</t>
        </is>
      </c>
      <c r="H49" s="15" t="inlineStr"/>
      <c r="I49" s="15" t="n">
        <v>1</v>
      </c>
      <c r="J49" s="16" t="inlineStr">
        <is>
          <t>Halaman /checkout/[id] menampilkan pesan sesuai status (pending/paid/expired/failed), polling status selama masih pending</t>
        </is>
      </c>
    </row>
    <row r="50">
      <c r="A50" s="11" t="n">
        <v>49</v>
      </c>
      <c r="B50" s="11" t="inlineStr">
        <is>
          <t>Sprint 4</t>
        </is>
      </c>
      <c r="C50" s="11" t="inlineStr">
        <is>
          <t>BE</t>
        </is>
      </c>
      <c r="D50" s="12" t="inlineStr">
        <is>
          <t>Kalkulasi saldo kreator dari ledger_entries (append-only)</t>
        </is>
      </c>
      <c r="E50" s="11" t="inlineStr">
        <is>
          <t>REQ-F-501</t>
        </is>
      </c>
      <c r="F50" s="13" t="inlineStr">
        <is>
          <t>Must</t>
        </is>
      </c>
      <c r="G50" s="14" t="inlineStr">
        <is>
          <t>Selesai</t>
        </is>
      </c>
      <c r="H50" s="11" t="inlineStr"/>
      <c r="I50" s="11" t="n">
        <v>2</v>
      </c>
      <c r="J50" s="12" t="inlineStr">
        <is>
          <t>Saldo direkonstruksi dari SUM(ledger_entries.amount_idr), tidak ada kolom saldo tersendiri. platform_fee_idr (default 5%, PLACEHOLDER bisnis via env PLATFORM_FEE_PERCENT) dipotong saat kredit</t>
        </is>
      </c>
    </row>
    <row r="51">
      <c r="A51" s="15" t="n">
        <v>50</v>
      </c>
      <c r="B51" s="15" t="inlineStr">
        <is>
          <t>Sprint 4</t>
        </is>
      </c>
      <c r="C51" s="15" t="inlineStr">
        <is>
          <t>BE</t>
        </is>
      </c>
      <c r="D51" s="16" t="inlineStr">
        <is>
          <t>Pisahkan saldo tertahan vs tersedia + holding period anti-fraud</t>
        </is>
      </c>
      <c r="E51" s="15" t="inlineStr">
        <is>
          <t>REQ-F-502</t>
        </is>
      </c>
      <c r="F51" s="13" t="inlineStr">
        <is>
          <t>Must</t>
        </is>
      </c>
      <c r="G51" s="14" t="inlineStr">
        <is>
          <t>Selesai</t>
        </is>
      </c>
      <c r="H51" s="15" t="inlineStr"/>
      <c r="I51" s="15" t="n">
        <v>2</v>
      </c>
      <c r="J51" s="16" t="inlineStr">
        <is>
          <t>Held = kredit dalam HOLDING_PERIOD_DAYS (default 3, via env) dihitung ulang tiap request (bukan job terjadwal). Diuji: kredit baru -&gt; tertahan, setelah lewat periode -&gt; tersedia</t>
        </is>
      </c>
    </row>
    <row r="52">
      <c r="A52" s="11" t="n">
        <v>51</v>
      </c>
      <c r="B52" s="11" t="inlineStr">
        <is>
          <t>Sprint 4</t>
        </is>
      </c>
      <c r="C52" s="11" t="inlineStr">
        <is>
          <t>BE+FE</t>
        </is>
      </c>
      <c r="D52" s="12" t="inlineStr">
        <is>
          <t>Pengajuan penarikan dana ke rekening/e-wallet terverifikasi</t>
        </is>
      </c>
      <c r="E52" s="11" t="inlineStr">
        <is>
          <t>REQ-F-503</t>
        </is>
      </c>
      <c r="F52" s="13" t="inlineStr">
        <is>
          <t>Must</t>
        </is>
      </c>
      <c r="G52" s="14" t="inlineStr">
        <is>
          <t>Selesai</t>
        </is>
      </c>
      <c r="H52" s="11" t="inlineStr"/>
      <c r="I52" s="11" t="n">
        <v>3</v>
      </c>
      <c r="J52" s="12" t="inlineStr">
        <is>
          <t>POST /dashboard/payouts -- validasi saldo tersedia (advisory lock per-user cegah race), langsung mendebit ledger saat pengajuan (bukan saat cair) supaya saldo sama tidak bisa diajukan 2x. Rekening TIDAK diverifikasi (KYC/REQ-F-105 belum ada)</t>
        </is>
      </c>
    </row>
    <row r="53">
      <c r="A53" s="15" t="n">
        <v>52</v>
      </c>
      <c r="B53" s="15" t="inlineStr">
        <is>
          <t>Sprint 4</t>
        </is>
      </c>
      <c r="C53" s="15" t="inlineStr">
        <is>
          <t>BE+FE</t>
        </is>
      </c>
      <c r="D53" s="16" t="inlineStr">
        <is>
          <t>Status penarikan real-time (diajukan/diproses/berhasil/gagal)</t>
        </is>
      </c>
      <c r="E53" s="15" t="inlineStr">
        <is>
          <t>REQ-F-504</t>
        </is>
      </c>
      <c r="F53" s="13" t="inlineStr">
        <is>
          <t>Must</t>
        </is>
      </c>
      <c r="G53" s="20" t="inlineStr">
        <is>
          <t>Sebagian</t>
        </is>
      </c>
      <c r="H53" s="15" t="inlineStr"/>
      <c r="I53" s="15" t="n">
        <v>1</v>
      </c>
      <c r="J53" s="16" t="inlineStr">
        <is>
          <t>Status TIDAK berubah otomatis dari "requested" (belum ada integrasi Midtrans Disbursement API sungguhan), TAPI aksi admin manual sekarang sudah ada (No.53, PATCH /admin/payouts/:id) -- admin bisa memproses requested-&gt;processing-&gt;completed/failed secara manual setelah transfer dana asli di luar sistem. Real-time otomatis masih jadi pekerjaan lanjutan.</t>
        </is>
      </c>
    </row>
    <row r="54">
      <c r="A54" s="11" t="n">
        <v>53</v>
      </c>
      <c r="B54" s="11" t="inlineStr">
        <is>
          <t>Sprint 4</t>
        </is>
      </c>
      <c r="C54" s="11" t="inlineStr">
        <is>
          <t>BE</t>
        </is>
      </c>
      <c r="D54" s="12" t="inlineStr">
        <is>
          <t>Rekonsiliasi disbursement lintas kreator untuk admin</t>
        </is>
      </c>
      <c r="E54" s="11" t="inlineStr">
        <is>
          <t>REQ-F-505</t>
        </is>
      </c>
      <c r="F54" s="17" t="inlineStr">
        <is>
          <t>Should</t>
        </is>
      </c>
      <c r="G54" s="19" t="inlineStr">
        <is>
          <t>Selesai</t>
        </is>
      </c>
      <c r="H54" s="11" t="inlineStr"/>
      <c r="I54" s="11" t="n">
        <v>2</v>
      </c>
      <c r="J54" s="12" t="inlineStr">
        <is>
          <t>GET /admin/payouts (lintas semua kreator, filter status) + PATCH /admin/payouts/:id (state machine requested-&gt;processing-&gt;completed, atau -&gt;failed dari kedua state). Belum ada integrasi Disbursement API sungguhan -- admin transfer dana manual di luar sistem lalu tandai statusnya di sini. Kalau ditandai "failed", ledger debit yang dicatat saat pengajuan di-REVERSE (dikredit balik) supaya saldo kreator tidak hilang. Halaman /admin/payouts baru (filter Perlu Tindakan/Semua Riwayat). Diverifikasi end-to-end: payout diproses sampai selesai, payout lain ditandai gagal &amp; saldo terkonfirmasi kembali, transisi status tidak valid ditolak 400.</t>
        </is>
      </c>
    </row>
    <row r="55">
      <c r="A55" s="15" t="n">
        <v>54</v>
      </c>
      <c r="B55" s="15" t="inlineStr">
        <is>
          <t>Sprint 4</t>
        </is>
      </c>
      <c r="C55" s="15" t="inlineStr">
        <is>
          <t>CI/CD</t>
        </is>
      </c>
      <c r="D55" s="16" t="inlineStr">
        <is>
          <t>Otomasi rollback lewat workflow_dispatch input (lanjutan L2)</t>
        </is>
      </c>
      <c r="E55" s="15" t="inlineStr">
        <is>
          <t>L2</t>
        </is>
      </c>
      <c r="F55" s="18" t="inlineStr">
        <is>
          <t>Could</t>
        </is>
      </c>
      <c r="G55" s="14" t="inlineStr">
        <is>
          <t>Selesai</t>
        </is>
      </c>
      <c r="H55" s="15" t="inlineStr"/>
      <c r="I55" s="15" t="n">
        <v>1</v>
      </c>
      <c r="J55" s="16" t="inlineStr">
        <is>
          <t>Sudah dikerjakan sejak audit CI/CD awal (commit 221b6ad) -- deploy-staging.yml &amp; deploy-production.yml sudah punya workflow_dispatch input image_tag. Baris ini sebelumnya salah tercatat Belum Mulai</t>
        </is>
      </c>
    </row>
    <row r="56">
      <c r="A56" s="11" t="n">
        <v>55</v>
      </c>
      <c r="B56" s="11" t="inlineStr">
        <is>
          <t>Sprint 5</t>
        </is>
      </c>
      <c r="C56" s="11" t="inlineStr">
        <is>
          <t>BE</t>
        </is>
      </c>
      <c r="D56" s="12" t="inlineStr">
        <is>
          <t>Pencatatan klik per tautan &amp; kunjungan halaman</t>
        </is>
      </c>
      <c r="E56" s="11" t="inlineStr">
        <is>
          <t>REQ-F-601</t>
        </is>
      </c>
      <c r="F56" s="13" t="inlineStr">
        <is>
          <t>Must</t>
        </is>
      </c>
      <c r="G56" s="14" t="inlineStr">
        <is>
          <t>Selesai</t>
        </is>
      </c>
      <c r="H56" s="11" t="inlineStr"/>
      <c r="I56" s="11" t="n">
        <v>1.5</v>
      </c>
      <c r="J56" s="12" t="inlineStr">
        <is>
          <t>POST /pages/:username/track (publik, fail-silent) mencatat view/click ke analytics_events. Tracking dipasang di halaman publik (view saat load, click per tautan)</t>
        </is>
      </c>
    </row>
    <row r="57">
      <c r="A57" s="15" t="n">
        <v>56</v>
      </c>
      <c r="B57" s="15" t="inlineStr">
        <is>
          <t>Sprint 5</t>
        </is>
      </c>
      <c r="C57" s="15" t="inlineStr">
        <is>
          <t>BE+FE</t>
        </is>
      </c>
      <c r="D57" s="16" t="inlineStr">
        <is>
          <t>Grafik tren kunjungan &amp; penjualan per rentang waktu</t>
        </is>
      </c>
      <c r="E57" s="15" t="inlineStr">
        <is>
          <t>REQ-F-602</t>
        </is>
      </c>
      <c r="F57" s="17" t="inlineStr">
        <is>
          <t>Should</t>
        </is>
      </c>
      <c r="G57" s="14" t="inlineStr">
        <is>
          <t>Selesai</t>
        </is>
      </c>
      <c r="H57" s="15" t="inlineStr"/>
      <c r="I57" s="15" t="n">
        <v>2</v>
      </c>
      <c r="J57" s="16" t="inlineStr">
        <is>
          <t>GET /dashboard/analytics/summary: total view/klik + deret harian 30 hari, ditampilkan sebagai bar chart CSS sederhana di dashboard Ringkasan</t>
        </is>
      </c>
    </row>
    <row r="58">
      <c r="A58" s="11" t="n">
        <v>57</v>
      </c>
      <c r="B58" s="11" t="inlineStr">
        <is>
          <t>Sprint 5</t>
        </is>
      </c>
      <c r="C58" s="11" t="inlineStr">
        <is>
          <t>BE+FE</t>
        </is>
      </c>
      <c r="D58" s="12" t="inlineStr">
        <is>
          <t>Produk terlaris &amp; sumber trafik (referrer) utama</t>
        </is>
      </c>
      <c r="E58" s="11" t="inlineStr">
        <is>
          <t>REQ-F-603</t>
        </is>
      </c>
      <c r="F58" s="17" t="inlineStr">
        <is>
          <t>Should</t>
        </is>
      </c>
      <c r="G58" s="14" t="inlineStr">
        <is>
          <t>Selesai</t>
        </is>
      </c>
      <c r="H58" s="11" t="inlineStr"/>
      <c r="I58" s="11" t="n">
        <v>1.5</v>
      </c>
      <c r="J58" s="12" t="inlineStr">
        <is>
          <t>Produk terlaris dihitung dari order status='paid' (bukan sekadar dibuat). Sumber trafik dari kolom referrer analytics_events</t>
        </is>
      </c>
    </row>
    <row r="59">
      <c r="A59" s="15" t="n">
        <v>58</v>
      </c>
      <c r="B59" s="15" t="inlineStr">
        <is>
          <t>Sprint 5</t>
        </is>
      </c>
      <c r="C59" s="15" t="inlineStr">
        <is>
          <t>BE</t>
        </is>
      </c>
      <c r="D59" s="16" t="inlineStr">
        <is>
          <t>Rate limiting API</t>
        </is>
      </c>
      <c r="E59" s="15" t="inlineStr">
        <is>
          <t>NF-05</t>
        </is>
      </c>
      <c r="F59" s="13" t="inlineStr">
        <is>
          <t>Must</t>
        </is>
      </c>
      <c r="G59" s="14" t="inlineStr">
        <is>
          <t>Selesai</t>
        </is>
      </c>
      <c r="H59" s="15" t="inlineStr"/>
      <c r="I59" s="15" t="n">
        <v>1</v>
      </c>
      <c r="J59" s="16" t="inlineStr">
        <is>
          <t>Redis fixed-window per IP: 10/menit untuk auth (register+login berbagi kuota), 20/menit checkout, 60/menit track. Fail-open kalau Redis down. Diuji: request ke-11 balas 429</t>
        </is>
      </c>
    </row>
    <row r="60">
      <c r="A60" s="11" t="n">
        <v>59</v>
      </c>
      <c r="B60" s="11" t="inlineStr">
        <is>
          <t>Sprint 5</t>
        </is>
      </c>
      <c r="C60" s="11" t="inlineStr">
        <is>
          <t>BE</t>
        </is>
      </c>
      <c r="D60" s="12" t="inlineStr">
        <is>
          <t>Log audit untuk setiap perubahan saldo &amp; status transaksi</t>
        </is>
      </c>
      <c r="E60" s="11" t="inlineStr">
        <is>
          <t>NF-10</t>
        </is>
      </c>
      <c r="F60" s="13" t="inlineStr">
        <is>
          <t>Must</t>
        </is>
      </c>
      <c r="G60" s="14" t="inlineStr">
        <is>
          <t>Selesai</t>
        </is>
      </c>
      <c r="H60" s="11" t="inlineStr"/>
      <c r="I60" s="11" t="n">
        <v>1.5</v>
      </c>
      <c r="J60" s="12" t="inlineStr">
        <is>
          <t>Tabel audit_log (user_id, action, entity_type, entity_id, metadata jsonb), dicatat DI DALAM transaksi yang sama dengan perubahan (order.paid, ledger.credit, payout.requested, user.deleted) supaya tidak pernah hilang kalau di-rollback</t>
        </is>
      </c>
    </row>
    <row r="61">
      <c r="A61" s="15" t="n">
        <v>60</v>
      </c>
      <c r="B61" s="15" t="inlineStr">
        <is>
          <t>Sprint 5</t>
        </is>
      </c>
      <c r="C61" s="15" t="inlineStr">
        <is>
          <t>BE+Legal</t>
        </is>
      </c>
      <c r="D61" s="16" t="inlineStr">
        <is>
          <t>Mekanisme consent &amp; hapus data sesuai UU PDP</t>
        </is>
      </c>
      <c r="E61" s="15" t="inlineStr">
        <is>
          <t>NF-09</t>
        </is>
      </c>
      <c r="F61" s="13" t="inlineStr">
        <is>
          <t>Must</t>
        </is>
      </c>
      <c r="G61" s="20" t="inlineStr">
        <is>
          <t>Selesai</t>
        </is>
      </c>
      <c r="H61" s="15" t="inlineStr"/>
      <c r="I61" s="15" t="n">
        <v>2</v>
      </c>
      <c r="J61" s="16" t="inlineStr">
        <is>
          <t>Consent WAJIB dicentang saat registrasi (consent_accepted_at dicatat). Hapus akun = ANONIMISASI (email/username diganti, password_hash dihapus, halaman+produk dinonaktifkan) BUKAN hapus baris fisik -- order/ledger/payment tetap ada untuk kebutuhan pembukuan. CATATAN: ini implementasi MVP berdasarkan pemahaman umum, BUKAN nasihat hukum bersertifikasi -- perlu review oleh yang paham UU PDP secara spesifik sebelum go-live sungguhan</t>
        </is>
      </c>
    </row>
    <row r="62">
      <c r="A62" s="11" t="n">
        <v>61</v>
      </c>
      <c r="B62" s="11" t="inlineStr">
        <is>
          <t>Sprint 5</t>
        </is>
      </c>
      <c r="C62" s="11" t="inlineStr">
        <is>
          <t>BE</t>
        </is>
      </c>
      <c r="D62" s="12" t="inlineStr">
        <is>
          <t>Tambah golangci-lint (lanjutan L3)</t>
        </is>
      </c>
      <c r="E62" s="11" t="inlineStr">
        <is>
          <t>L3</t>
        </is>
      </c>
      <c r="F62" s="18" t="inlineStr">
        <is>
          <t>Could</t>
        </is>
      </c>
      <c r="G62" s="14" t="inlineStr">
        <is>
          <t>Selesai</t>
        </is>
      </c>
      <c r="H62" s="11" t="inlineStr"/>
      <c r="I62" s="11" t="n">
        <v>0.5</v>
      </c>
      <c r="J62" s="12" t="inlineStr">
        <is>
          <t>Duplikat dari No.13 (Sprint 0) yang sudah selesai sejak bug #11 (commit d6ff131) -- baris ini sebelumnya salah tercatat Belum Mulai</t>
        </is>
      </c>
    </row>
    <row r="63">
      <c r="A63" s="15" t="n">
        <v>62</v>
      </c>
      <c r="B63" s="15" t="inlineStr">
        <is>
          <t>Sprint 5</t>
        </is>
      </c>
      <c r="C63" s="15" t="inlineStr">
        <is>
          <t>QA</t>
        </is>
      </c>
      <c r="D63" s="16" t="inlineStr">
        <is>
          <t>Smoke test transaksi dengan uang sungguhan (nominal kecil)</t>
        </is>
      </c>
      <c r="E63" s="15" t="inlineStr">
        <is>
          <t>-</t>
        </is>
      </c>
      <c r="F63" s="13" t="inlineStr">
        <is>
          <t>Must</t>
        </is>
      </c>
      <c r="G63" s="20" t="inlineStr">
        <is>
          <t>Diblokir</t>
        </is>
      </c>
      <c r="H63" s="15" t="inlineStr"/>
      <c r="I63" s="15" t="n">
        <v>0.5</v>
      </c>
      <c r="J63" s="16" t="inlineStr">
        <is>
          <t>Masih diblokir -- kredensial Midtrans yang terpasang (No.42) adalah kredensial SANDBOX (uang test), belum akun production sungguhan. Smoke test dengan uang sungguhan baru bisa dilakukan setelah ada keputusan bisnis untuk mengaktifkan Midtrans production.</t>
        </is>
      </c>
    </row>
    <row r="64">
      <c r="A64" s="11" t="n">
        <v>63</v>
      </c>
      <c r="B64" s="11" t="inlineStr">
        <is>
          <t>Sprint 5</t>
        </is>
      </c>
      <c r="C64" s="11" t="inlineStr">
        <is>
          <t>Ops</t>
        </is>
      </c>
      <c r="D64" s="12" t="inlineStr">
        <is>
          <t>Jalankan penuh checklist go-live CICD-GUIDE §12</t>
        </is>
      </c>
      <c r="E64" s="11" t="inlineStr">
        <is>
          <t>-</t>
        </is>
      </c>
      <c r="F64" s="13" t="inlineStr">
        <is>
          <t>Must</t>
        </is>
      </c>
      <c r="G64" s="20" t="inlineStr">
        <is>
          <t>Sebagian</t>
        </is>
      </c>
      <c r="H64" s="11" t="inlineStr"/>
      <c r="I64" s="11" t="n">
        <v>1</v>
      </c>
      <c r="J64" s="12" t="inlineStr">
        <is>
          <t>Checklist di CICD-GUIDE.md Bagian 14 sebagian besar sudah tercentang dari kerja sebelumnya -- perlu review manual sekali lagi sebelum benar-benar go-live publik (bukan sekadar deploy teknis)</t>
        </is>
      </c>
    </row>
    <row r="65">
      <c r="A65" s="15" t="n">
        <v>64</v>
      </c>
      <c r="B65" s="15" t="inlineStr">
        <is>
          <t>Sprint 6</t>
        </is>
      </c>
      <c r="C65" s="15" t="inlineStr">
        <is>
          <t>BE+FE</t>
        </is>
      </c>
      <c r="D65" s="16" t="inlineStr">
        <is>
          <t>Manajemen user admin (lihat, suspend/aktifkan akun kreator)</t>
        </is>
      </c>
      <c r="E65" s="15" t="inlineStr">
        <is>
          <t>REQ-F-701</t>
        </is>
      </c>
      <c r="F65" s="13" t="inlineStr">
        <is>
          <t>Must</t>
        </is>
      </c>
      <c r="G65" s="14" t="inlineStr">
        <is>
          <t>Selesai</t>
        </is>
      </c>
      <c r="H65" s="15" t="n"/>
      <c r="I65" s="15" t="n">
        <v>2</v>
      </c>
      <c r="J65" s="16" t="inlineStr">
        <is>
          <t>GET/PATCH /admin/users -- cari, suspend (blokir login dengan pesan jelas), aktifkan lagi. Diuji: suspend-&gt;login ditolak 403-&gt;aktifkan-&gt;login pulih</t>
        </is>
      </c>
    </row>
    <row r="66">
      <c r="A66" s="15" t="n">
        <v>65</v>
      </c>
      <c r="B66" s="15" t="inlineStr">
        <is>
          <t>Sprint 6</t>
        </is>
      </c>
      <c r="C66" s="15" t="inlineStr">
        <is>
          <t>BE+FE</t>
        </is>
      </c>
      <c r="D66" s="16" t="inlineStr">
        <is>
          <t>Moderasi konten (tinjau &amp; takedown halaman/produk yang dilaporkan)</t>
        </is>
      </c>
      <c r="E66" s="15" t="inlineStr">
        <is>
          <t>REQ-F-702</t>
        </is>
      </c>
      <c r="F66" s="13" t="inlineStr">
        <is>
          <t>Must</t>
        </is>
      </c>
      <c r="G66" s="14" t="inlineStr">
        <is>
          <t>Selesai</t>
        </is>
      </c>
      <c r="H66" s="15" t="n"/>
      <c r="I66" s="15" t="n">
        <v>2</v>
      </c>
      <c r="J66" s="16" t="inlineStr">
        <is>
          <t>POST /reports (publik, tanpa akun) + GET/PATCH /admin/reports untuk admin. Takedown diverifikasi benar-benar unpublish halaman/nonaktifkan produk</t>
        </is>
      </c>
    </row>
    <row r="67">
      <c r="A67" s="15" t="n">
        <v>66</v>
      </c>
      <c r="B67" s="15" t="inlineStr">
        <is>
          <t>Sprint 6</t>
        </is>
      </c>
      <c r="C67" s="15" t="inlineStr">
        <is>
          <t>BE+FE</t>
        </is>
      </c>
      <c r="D67" s="16" t="inlineStr">
        <is>
          <t>Dashboard admin (ringkasan user, transaksi, laporan)</t>
        </is>
      </c>
      <c r="E67" s="15" t="inlineStr">
        <is>
          <t>REQ-F-703</t>
        </is>
      </c>
      <c r="F67" s="13" t="inlineStr">
        <is>
          <t>Should</t>
        </is>
      </c>
      <c r="G67" s="14" t="inlineStr">
        <is>
          <t>Selesai</t>
        </is>
      </c>
      <c r="H67" s="15" t="n"/>
      <c r="I67" s="15" t="n">
        <v>2</v>
      </c>
      <c r="J67" s="16" t="inlineStr">
        <is>
          <t>GET /admin/summary: total user, user baru 7 hari, transaksi lunas, pendapatan, laporan tertunda. Tidak ada endpoint API untuk jadi admin (sengaja SQL manual saja) -- AdminRequired selalu cek role ke DB, bukan klaim JWT</t>
        </is>
      </c>
    </row>
  </sheetData>
  <autoFilter ref="A1:J64"/>
  <conditionalFormatting sqref="G2:G64">
    <cfRule type="cellIs" priority="1" operator="equal" dxfId="0">
      <formula>"Selesai"</formula>
    </cfRule>
    <cfRule type="cellIs" priority="2" operator="equal" dxfId="1">
      <formula>"Dikerjakan"</formula>
    </cfRule>
    <cfRule type="cellIs" priority="3" operator="equal" dxfId="2">
      <formula>"Belum Mulai"</formula>
    </cfRule>
    <cfRule type="cellIs" priority="4" operator="equal" dxfId="3">
      <formula>"Blocked"</formula>
    </cfRule>
  </conditionalFormatting>
  <dataValidations count="2">
    <dataValidation sqref="G2:G64" showDropDown="0" showInputMessage="0" showErrorMessage="0" allowBlank="1" error="Pilih dari daftar: Belum Mulai, Dikerjakan, Review, Selesai, Blocked" type="list">
      <formula1>"Belum Mulai,Dikerjakan,Review,Selesai,Blocked"</formula1>
    </dataValidation>
    <dataValidation sqref="F2:F64" showDropDown="0" showInputMessage="0" showErrorMessage="0" allowBlank="1" type="list">
      <formula1>"Must,Should,Could"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2026-07-04T06:17:12Z</dcterms:created>
  <dcterms:modified xmlns:dcterms="http://purl.org/dc/terms/" xmlns:xsi="http://www.w3.org/2001/XMLSchema-instance" xsi:type="dcterms:W3CDTF">2026-07-16T18:18:58Z</dcterms:modified>
</cp:coreProperties>
</file>