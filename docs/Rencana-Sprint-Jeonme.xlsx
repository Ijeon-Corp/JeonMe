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ngkasan" sheetId="1" state="visible" r:id="rId1"/>
    <sheet xmlns:r="http://schemas.openxmlformats.org/officeDocument/2006/relationships" name="Backlog" sheetId="2" state="visible" r:id="rId2"/>
  </sheets>
  <definedNames>
    <definedName name="_xlnm._FilterDatabase" localSheetId="1" hidden="1">'Backlog'!$A$1:$J$64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C9A24B"/>
      <sz val="11"/>
    </font>
    <font>
      <name val="Georgia"/>
      <b val="1"/>
      <color rgb="001B4D3E"/>
      <sz val="20"/>
    </font>
    <font>
      <name val="Calibri"/>
      <i val="1"/>
      <color rgb="00444444"/>
      <sz val="11"/>
    </font>
    <font>
      <name val="Calibri"/>
      <color rgb="00777777"/>
      <sz val="9"/>
    </font>
    <font>
      <b val="1"/>
      <color rgb="00FFFFFF"/>
    </font>
  </fonts>
  <fills count="11">
    <fill>
      <patternFill/>
    </fill>
    <fill>
      <patternFill patternType="gray125"/>
    </fill>
    <fill>
      <patternFill patternType="solid">
        <fgColor rgb="001B4D3E"/>
      </patternFill>
    </fill>
    <fill>
      <patternFill patternType="solid">
        <fgColor rgb="00F2F5F3"/>
      </patternFill>
    </fill>
    <fill>
      <patternFill patternType="solid">
        <fgColor rgb="00FDECD2"/>
      </patternFill>
    </fill>
    <fill>
      <patternFill patternType="solid">
        <fgColor rgb="00FFFFFF"/>
      </patternFill>
    </fill>
    <fill>
      <patternFill patternType="solid">
        <fgColor rgb="00E7E9E8"/>
      </patternFill>
    </fill>
    <fill>
      <patternFill patternType="solid">
        <fgColor rgb="00FBE1DC"/>
      </patternFill>
    </fill>
    <fill>
      <patternFill patternType="solid">
        <fgColor rgb="00DFF0E6"/>
      </patternFill>
    </fill>
    <fill>
      <patternFill patternType="solid">
        <fgColor rgb="00E2ECF7"/>
      </patternFill>
    </fill>
    <fill>
      <patternFill patternType="solid">
        <fgColor rgb="00FFF3CD"/>
        <bgColor rgb="00FFF3CD"/>
      </patternFill>
    </fill>
  </fills>
  <borders count="2">
    <border>
      <left/>
      <right/>
      <top/>
      <bottom/>
      <diagonal/>
    </border>
    <border>
      <left style="thin">
        <color rgb="00D8DDD9"/>
      </left>
      <right style="thin">
        <color rgb="00D8DDD9"/>
      </right>
      <top style="thin">
        <color rgb="00D8DDD9"/>
      </top>
      <bottom style="thin">
        <color rgb="00D8DDD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horizontal="left" vertical="center" wrapText="1"/>
    </xf>
    <xf numFmtId="0" fontId="0" fillId="3" borderId="0" applyAlignment="1" pivotButton="0" quotePrefix="0" xfId="0">
      <alignment horizontal="left" vertical="center" wrapText="1"/>
    </xf>
    <xf numFmtId="0" fontId="0" fillId="4" borderId="0" applyAlignment="1" pivotButton="0" quotePrefix="0" xfId="0">
      <alignment horizontal="left" vertical="center" wrapText="1"/>
    </xf>
    <xf numFmtId="0" fontId="0" fillId="5" borderId="0" applyAlignment="1" pivotButton="0" quotePrefix="0" xfId="0">
      <alignment horizontal="left" vertical="center" wrapText="1"/>
    </xf>
    <xf numFmtId="0" fontId="0" fillId="6" borderId="0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7" borderId="1" applyAlignment="1" pivotButton="0" quotePrefix="0" xfId="0">
      <alignment vertical="center"/>
    </xf>
    <xf numFmtId="0" fontId="0" fillId="8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0" fillId="9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10" borderId="1" applyAlignment="1" pivotButton="0" quotePrefix="0" xfId="0">
      <alignment vertical="center"/>
    </xf>
  </cellXfs>
  <cellStyles count="1">
    <cellStyle name="Normal" xfId="0" builtinId="0" hidden="0"/>
  </cellStyles>
  <dxfs count="4">
    <dxf>
      <fill>
        <patternFill patternType="solid">
          <fgColor rgb="00DFF0E6"/>
        </patternFill>
      </fill>
    </dxf>
    <dxf>
      <fill>
        <patternFill patternType="solid">
          <fgColor rgb="00FDECD2"/>
        </patternFill>
      </fill>
    </dxf>
    <dxf>
      <fill>
        <patternFill patternType="solid">
          <fgColor rgb="00E7E9E8"/>
        </patternFill>
      </fill>
    </dxf>
    <dxf>
      <fill>
        <patternFill patternType="solid">
          <fgColor rgb="00FBE1D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G1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2" customWidth="1" min="2" max="2"/>
    <col width="26" customWidth="1" min="3" max="3"/>
    <col width="12" customWidth="1" min="4" max="4"/>
    <col width="46" customWidth="1" min="5" max="5"/>
    <col width="12" customWidth="1" min="6" max="6"/>
    <col width="16" customWidth="1" min="7" max="7"/>
  </cols>
  <sheetData>
    <row r="2">
      <c r="B2" s="1" t="inlineStr">
        <is>
          <t>JEONME</t>
        </is>
      </c>
    </row>
    <row r="3" ht="26" customHeight="1">
      <c r="B3" s="2" t="inlineStr">
        <is>
          <t>Rencana Sprint &amp; Backlog</t>
        </is>
      </c>
    </row>
    <row r="4">
      <c r="B4" s="3" t="inlineStr">
        <is>
          <t>Fase 1 (MVP) -- 1 sprint penutupan fondasi + 5 sprint dua-mingguan</t>
        </is>
      </c>
    </row>
    <row r="5">
      <c r="B5" s="4" t="inlineStr">
        <is>
          <t>Diperbarui: 3 Juli 2026 -- lihat sheet 'Backlog' untuk daftar task lengkap dan bisa diedit (Status, PIC).</t>
        </is>
      </c>
      <c r="C5" t="inlineStr">
        <is>
          <t>Diperbarui: 12 Juli 2026 -- lihat sheet 'Backlog' untuk daftar task lengkap dan bisa diedit (Status, PIC).</t>
        </is>
      </c>
    </row>
    <row r="7">
      <c r="B7" s="5" t="inlineStr">
        <is>
          <t>Sprint</t>
        </is>
      </c>
      <c r="C7" s="5" t="inlineStr">
        <is>
          <t>Nama</t>
        </is>
      </c>
      <c r="D7" s="5" t="inlineStr">
        <is>
          <t>Durasi</t>
        </is>
      </c>
      <c r="E7" s="5" t="inlineStr">
        <is>
          <t>Tujuan</t>
        </is>
      </c>
      <c r="F7" s="5" t="inlineStr">
        <is>
          <t>Jumlah Task</t>
        </is>
      </c>
      <c r="G7" s="5" t="inlineStr">
        <is>
          <t>Status</t>
        </is>
      </c>
    </row>
    <row r="8">
      <c r="B8" s="6" t="inlineStr">
        <is>
          <t>Sprint 0</t>
        </is>
      </c>
      <c r="C8" s="6" t="inlineStr">
        <is>
          <t>Penutupan Fondasi</t>
        </is>
      </c>
      <c r="D8" s="6" t="inlineStr">
        <is>
          <t>Sisa Fase 0</t>
        </is>
      </c>
      <c r="E8" s="6" t="inlineStr">
        <is>
          <t>Pipeline CI/CD aman dipakai, backend teruji, HTTPS siap, VPS live</t>
        </is>
      </c>
      <c r="F8" s="6">
        <f>COUNTIF(Backlog!B:B,"Sprint 0")</f>
        <v/>
      </c>
      <c r="G8" s="7" t="inlineStr">
        <is>
          <t>Selesai (kecuali L4 worker/queue, sengaja ditunda ke Sprint 2)</t>
        </is>
      </c>
    </row>
    <row r="9">
      <c r="B9" s="8" t="inlineStr">
        <is>
          <t>Sprint 1</t>
        </is>
      </c>
      <c r="C9" s="8" t="inlineStr">
        <is>
          <t>Onboarding &amp; Halaman Publik</t>
        </is>
      </c>
      <c r="D9" s="8" t="inlineStr">
        <is>
          <t>Minggu 1-2</t>
        </is>
      </c>
      <c r="E9" s="8" t="inlineStr">
        <is>
          <t>Kreator daftar, kustomisasi, terbitkan halaman publik</t>
        </is>
      </c>
      <c r="F9" s="8">
        <f>COUNTIF(Backlog!B:B,"Sprint 1")</f>
        <v/>
      </c>
      <c r="G9" s="9" t="inlineStr">
        <is>
          <t>Sebagian Selesai (OAuth Google diblokir, upload foto profil sebagian)</t>
        </is>
      </c>
    </row>
    <row r="10">
      <c r="B10" s="6" t="inlineStr">
        <is>
          <t>Sprint 2</t>
        </is>
      </c>
      <c r="C10" s="6" t="inlineStr">
        <is>
          <t>Produk Digital &amp; Upload</t>
        </is>
      </c>
      <c r="D10" s="6" t="inlineStr">
        <is>
          <t>Minggu 3-4</t>
        </is>
      </c>
      <c r="E10" s="6" t="inlineStr">
        <is>
          <t>Kreator unggah &amp; jual file digital</t>
        </is>
      </c>
      <c r="F10" s="6">
        <f>COUNTIF(Backlog!B:B,"Sprint 2")</f>
        <v/>
      </c>
      <c r="G10" s="9" t="inlineStr">
        <is>
          <t>Sebagian Selesai (worker/job queue -- No 41 -- masih ditunda)</t>
        </is>
      </c>
    </row>
    <row r="11">
      <c r="B11" s="8" t="inlineStr">
        <is>
          <t>Sprint 3</t>
        </is>
      </c>
      <c r="C11" s="8" t="inlineStr">
        <is>
          <t>Checkout &amp; Pembayaran</t>
        </is>
      </c>
      <c r="D11" s="8" t="inlineStr">
        <is>
          <t>Minggu 5-6</t>
        </is>
      </c>
      <c r="E11" s="8" t="inlineStr">
        <is>
          <t>Pembeli checkout &amp; bayar sungguhan lewat Xendit</t>
        </is>
      </c>
      <c r="F11" s="8">
        <f>COUNTIF(Backlog!B:B,"Sprint 3")</f>
        <v/>
      </c>
      <c r="G11" s="9" t="inlineStr">
        <is>
          <t>Belum Mulai</t>
        </is>
      </c>
    </row>
    <row r="12">
      <c r="B12" s="6" t="inlineStr">
        <is>
          <t>Sprint 4</t>
        </is>
      </c>
      <c r="C12" s="6" t="inlineStr">
        <is>
          <t>Ledger, Saldo &amp; Penarikan</t>
        </is>
      </c>
      <c r="D12" s="6" t="inlineStr">
        <is>
          <t>Minggu 7-8</t>
        </is>
      </c>
      <c r="E12" s="6" t="inlineStr">
        <is>
          <t>Uang kreator dihitung, dipantau, ditarik</t>
        </is>
      </c>
      <c r="F12" s="6">
        <f>COUNTIF(Backlog!B:B,"Sprint 4")</f>
        <v/>
      </c>
      <c r="G12" s="9" t="inlineStr">
        <is>
          <t>Belum Mulai</t>
        </is>
      </c>
    </row>
    <row r="13">
      <c r="B13" s="8" t="inlineStr">
        <is>
          <t>Sprint 5</t>
        </is>
      </c>
      <c r="C13" s="8" t="inlineStr">
        <is>
          <t>Analitik &amp; Pengerasan Go-Live</t>
        </is>
      </c>
      <c r="D13" s="8" t="inlineStr">
        <is>
          <t>Minggu 9-10</t>
        </is>
      </c>
      <c r="E13" s="8" t="inlineStr">
        <is>
          <t>Siap rilis production pertama</t>
        </is>
      </c>
      <c r="F13" s="8">
        <f>COUNTIF(Backlog!B:B,"Sprint 5")</f>
        <v/>
      </c>
      <c r="G13" s="9" t="inlineStr">
        <is>
          <t>Belum Mulai</t>
        </is>
      </c>
    </row>
    <row r="14">
      <c r="B14" s="8" t="inlineStr">
        <is>
          <t>Sprint 6</t>
        </is>
      </c>
      <c r="C14" s="8" t="inlineStr">
        <is>
          <t>Panel Admin</t>
        </is>
      </c>
      <c r="D14" s="8" t="inlineStr">
        <is>
          <t>Minggu 11-12</t>
        </is>
      </c>
      <c r="E14" s="8" t="inlineStr">
        <is>
          <t>Admin bisa kelola user, moderasi konten, dan pantau transaksi</t>
        </is>
      </c>
      <c r="F14" s="8">
        <f>COUNTIF(Backlog!B:B,"Sprint 6")</f>
        <v/>
      </c>
      <c r="G14" s="9" t="inlineStr">
        <is>
          <t>Belum Mulai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0" customWidth="1" min="2" max="2"/>
    <col width="10" customWidth="1" min="3" max="3"/>
    <col width="52" customWidth="1" min="4" max="4"/>
    <col width="16" customWidth="1" min="5" max="5"/>
    <col width="10" customWidth="1" min="6" max="6"/>
    <col width="14" customWidth="1" min="7" max="7"/>
    <col width="14" customWidth="1" min="8" max="8"/>
    <col width="10" customWidth="1" min="9" max="9"/>
    <col width="34" customWidth="1" min="10" max="10"/>
  </cols>
  <sheetData>
    <row r="1">
      <c r="A1" s="10" t="inlineStr">
        <is>
          <t>No</t>
        </is>
      </c>
      <c r="B1" s="10" t="inlineStr">
        <is>
          <t>Sprint</t>
        </is>
      </c>
      <c r="C1" s="10" t="inlineStr">
        <is>
          <t>Area</t>
        </is>
      </c>
      <c r="D1" s="10" t="inlineStr">
        <is>
          <t>Task</t>
        </is>
      </c>
      <c r="E1" s="10" t="inlineStr">
        <is>
          <t>Ref (REQ-F / Temuan)</t>
        </is>
      </c>
      <c r="F1" s="10" t="inlineStr">
        <is>
          <t>Prioritas</t>
        </is>
      </c>
      <c r="G1" s="10" t="inlineStr">
        <is>
          <t>Status</t>
        </is>
      </c>
      <c r="H1" s="10" t="inlineStr">
        <is>
          <t>PIC</t>
        </is>
      </c>
      <c r="I1" s="10" t="inlineStr">
        <is>
          <t>Estimasi (hari)</t>
        </is>
      </c>
      <c r="J1" s="10" t="inlineStr">
        <is>
          <t>Catatan</t>
        </is>
      </c>
    </row>
    <row r="2">
      <c r="A2" s="11" t="n">
        <v>1</v>
      </c>
      <c r="B2" s="11" t="inlineStr">
        <is>
          <t>Sprint 0</t>
        </is>
      </c>
      <c r="C2" s="11" t="inlineStr">
        <is>
          <t>CI/CD</t>
        </is>
      </c>
      <c r="D2" s="12" t="inlineStr">
        <is>
          <t>Perbaiki migrasi production (ganti placeholder echo dengan subcommand migrate sungguhan)</t>
        </is>
      </c>
      <c r="E2" s="11" t="inlineStr">
        <is>
          <t>C1</t>
        </is>
      </c>
      <c r="F2" s="13" t="inlineStr">
        <is>
          <t>Must</t>
        </is>
      </c>
      <c r="G2" s="14" t="inlineStr">
        <is>
          <t>Selesai</t>
        </is>
      </c>
      <c r="H2" s="11" t="inlineStr"/>
      <c r="I2" s="11" t="n">
        <v>1</v>
      </c>
      <c r="J2" s="12" t="inlineStr">
        <is>
          <t>internal/migrate/migrate.go + deploy-production.yml</t>
        </is>
      </c>
    </row>
    <row r="3">
      <c r="A3" s="15" t="n">
        <v>2</v>
      </c>
      <c r="B3" s="15" t="inlineStr">
        <is>
          <t>Sprint 0</t>
        </is>
      </c>
      <c r="C3" s="15" t="inlineStr">
        <is>
          <t>CI/CD</t>
        </is>
      </c>
      <c r="D3" s="16" t="inlineStr">
        <is>
          <t>Tambah docker login ghcr.io di VPS sebelum pull image</t>
        </is>
      </c>
      <c r="E3" s="15" t="inlineStr">
        <is>
          <t>C2</t>
        </is>
      </c>
      <c r="F3" s="13" t="inlineStr">
        <is>
          <t>Must</t>
        </is>
      </c>
      <c r="G3" s="14" t="inlineStr">
        <is>
          <t>Selesai</t>
        </is>
      </c>
      <c r="H3" s="15" t="inlineStr"/>
      <c r="I3" s="15" t="n">
        <v>0.5</v>
      </c>
      <c r="J3" s="16" t="inlineStr">
        <is>
          <t>deploy-staging.yml &amp; deploy-production.yml</t>
        </is>
      </c>
    </row>
    <row r="4">
      <c r="A4" s="11" t="n">
        <v>3</v>
      </c>
      <c r="B4" s="11" t="inlineStr">
        <is>
          <t>Sprint 0</t>
        </is>
      </c>
      <c r="C4" s="11" t="inlineStr">
        <is>
          <t>CI/CD</t>
        </is>
      </c>
      <c r="D4" s="12" t="inlineStr">
        <is>
          <t>Terapkan migrasi ke DB test sebelum go test di CI + tulis test pertama</t>
        </is>
      </c>
      <c r="E4" s="11" t="inlineStr">
        <is>
          <t>C3</t>
        </is>
      </c>
      <c r="F4" s="13" t="inlineStr">
        <is>
          <t>Must</t>
        </is>
      </c>
      <c r="G4" s="14" t="inlineStr">
        <is>
          <t>Selesai</t>
        </is>
      </c>
      <c r="H4" s="11" t="inlineStr"/>
      <c r="I4" s="11" t="n">
        <v>1</v>
      </c>
      <c r="J4" s="12" t="inlineStr">
        <is>
          <t>health_test.go</t>
        </is>
      </c>
    </row>
    <row r="5">
      <c r="A5" s="15" t="n">
        <v>4</v>
      </c>
      <c r="B5" s="15" t="inlineStr">
        <is>
          <t>Sprint 0</t>
        </is>
      </c>
      <c r="C5" s="15" t="inlineStr">
        <is>
          <t>CI/CD</t>
        </is>
      </c>
      <c r="D5" s="16" t="inlineStr">
        <is>
          <t>Tambah tag :latest sebagai fallback registry dari branch main</t>
        </is>
      </c>
      <c r="E5" s="15" t="inlineStr">
        <is>
          <t>H1</t>
        </is>
      </c>
      <c r="F5" s="17" t="inlineStr">
        <is>
          <t>Should</t>
        </is>
      </c>
      <c r="G5" s="14" t="inlineStr">
        <is>
          <t>Selesai</t>
        </is>
      </c>
      <c r="H5" s="15" t="inlineStr"/>
      <c r="I5" s="15" t="n">
        <v>0.5</v>
      </c>
      <c r="J5" s="16" t="inlineStr">
        <is>
          <t>ci.yml build-images</t>
        </is>
      </c>
    </row>
    <row r="6">
      <c r="A6" s="11" t="n">
        <v>5</v>
      </c>
      <c r="B6" s="11" t="inlineStr">
        <is>
          <t>Sprint 0</t>
        </is>
      </c>
      <c r="C6" s="11" t="inlineStr">
        <is>
          <t>CI/CD</t>
        </is>
      </c>
      <c r="D6" s="12" t="inlineStr">
        <is>
          <t>Ganti placeholder OWNER dengan variabel GHCR_REPO</t>
        </is>
      </c>
      <c r="E6" s="11" t="inlineStr">
        <is>
          <t>H2</t>
        </is>
      </c>
      <c r="F6" s="17" t="inlineStr">
        <is>
          <t>Should</t>
        </is>
      </c>
      <c r="G6" s="14" t="inlineStr">
        <is>
          <t>Selesai</t>
        </is>
      </c>
      <c r="H6" s="11" t="inlineStr"/>
      <c r="I6" s="11" t="n">
        <v>0.5</v>
      </c>
      <c r="J6" s="12" t="inlineStr">
        <is>
          <t>docker-compose.staging.yml &amp; .prod.yml</t>
        </is>
      </c>
    </row>
    <row r="7">
      <c r="A7" s="15" t="n">
        <v>6</v>
      </c>
      <c r="B7" s="15" t="inlineStr">
        <is>
          <t>Sprint 0</t>
        </is>
      </c>
      <c r="C7" s="15" t="inlineStr">
        <is>
          <t>Infra</t>
        </is>
      </c>
      <c r="D7" s="16" t="inlineStr">
        <is>
          <t>Lengkapi server block 443 + TLS di Nginx production</t>
        </is>
      </c>
      <c r="E7" s="15" t="inlineStr">
        <is>
          <t>H3</t>
        </is>
      </c>
      <c r="F7" s="13" t="inlineStr">
        <is>
          <t>Must</t>
        </is>
      </c>
      <c r="G7" s="14" t="inlineStr">
        <is>
          <t>Selesai</t>
        </is>
      </c>
      <c r="H7" s="15" t="inlineStr"/>
      <c r="I7" s="15" t="n">
        <v>1</v>
      </c>
      <c r="J7" s="16" t="inlineStr">
        <is>
          <t>docker/nginx/conf.d/production/jeonme.conf</t>
        </is>
      </c>
    </row>
    <row r="8">
      <c r="A8" s="11" t="n">
        <v>7</v>
      </c>
      <c r="B8" s="11" t="inlineStr">
        <is>
          <t>Sprint 0</t>
        </is>
      </c>
      <c r="C8" s="11" t="inlineStr">
        <is>
          <t>CI/CD</t>
        </is>
      </c>
      <c r="D8" s="12" t="inlineStr">
        <is>
          <t>Ganti npm install dengan npm ci (reproducible build)</t>
        </is>
      </c>
      <c r="E8" s="11" t="inlineStr">
        <is>
          <t>M1</t>
        </is>
      </c>
      <c r="F8" s="17" t="inlineStr">
        <is>
          <t>Should</t>
        </is>
      </c>
      <c r="G8" s="14" t="inlineStr">
        <is>
          <t>Selesai</t>
        </is>
      </c>
      <c r="H8" s="11" t="inlineStr"/>
      <c r="I8" s="11" t="n">
        <v>0.5</v>
      </c>
      <c r="J8" s="12" t="inlineStr">
        <is>
          <t>ci.yml &amp; Dockerfile web</t>
        </is>
      </c>
    </row>
    <row r="9">
      <c r="A9" s="15" t="n">
        <v>8</v>
      </c>
      <c r="B9" s="15" t="inlineStr">
        <is>
          <t>Sprint 0</t>
        </is>
      </c>
      <c r="C9" s="15" t="inlineStr">
        <is>
          <t>CI/CD</t>
        </is>
      </c>
      <c r="D9" s="16" t="inlineStr">
        <is>
          <t>Health check deploy pakai retry berjeda, bukan sleep tunggal</t>
        </is>
      </c>
      <c r="E9" s="15" t="inlineStr">
        <is>
          <t>M2</t>
        </is>
      </c>
      <c r="F9" s="17" t="inlineStr">
        <is>
          <t>Should</t>
        </is>
      </c>
      <c r="G9" s="14" t="inlineStr">
        <is>
          <t>Selesai</t>
        </is>
      </c>
      <c r="H9" s="15" t="inlineStr"/>
      <c r="I9" s="15" t="n">
        <v>0.5</v>
      </c>
      <c r="J9" s="16" t="inlineStr">
        <is>
          <t>deploy-*.yml</t>
        </is>
      </c>
    </row>
    <row r="10">
      <c r="A10" s="11" t="n">
        <v>9</v>
      </c>
      <c r="B10" s="11" t="inlineStr">
        <is>
          <t>Sprint 0</t>
        </is>
      </c>
      <c r="C10" s="11" t="inlineStr">
        <is>
          <t>CI/CD</t>
        </is>
      </c>
      <c r="D10" s="12" t="inlineStr">
        <is>
          <t>Tambah govulncheck &amp; npm audit non-blocking ke pipeline</t>
        </is>
      </c>
      <c r="E10" s="11" t="inlineStr">
        <is>
          <t>M3</t>
        </is>
      </c>
      <c r="F10" s="18" t="inlineStr">
        <is>
          <t>Could</t>
        </is>
      </c>
      <c r="G10" s="14" t="inlineStr">
        <is>
          <t>Selesai</t>
        </is>
      </c>
      <c r="H10" s="11" t="inlineStr"/>
      <c r="I10" s="11" t="n">
        <v>0.5</v>
      </c>
      <c r="J10" s="12" t="inlineStr">
        <is>
          <t>ci.yml</t>
        </is>
      </c>
    </row>
    <row r="11">
      <c r="A11" s="15" t="n">
        <v>10</v>
      </c>
      <c r="B11" s="15" t="inlineStr">
        <is>
          <t>Sprint 0</t>
        </is>
      </c>
      <c r="C11" s="15" t="inlineStr">
        <is>
          <t>BE</t>
        </is>
      </c>
      <c r="D11" s="16" t="inlineStr">
        <is>
          <t>Generate &amp; commit go.sum, verifikasi go build ./... hijau</t>
        </is>
      </c>
      <c r="E11" s="15" t="inlineStr">
        <is>
          <t>M4</t>
        </is>
      </c>
      <c r="F11" s="13" t="inlineStr">
        <is>
          <t>Must</t>
        </is>
      </c>
      <c r="G11" s="14" t="inlineStr">
        <is>
          <t>Selesai</t>
        </is>
      </c>
      <c r="H11" s="15" t="inlineStr"/>
      <c r="I11" s="15" t="n">
        <v>0.5</v>
      </c>
      <c r="J11" s="16" t="inlineStr">
        <is>
          <t>apps/api/go.sum</t>
        </is>
      </c>
    </row>
    <row r="12">
      <c r="A12" s="11" t="n">
        <v>11</v>
      </c>
      <c r="B12" s="11" t="inlineStr">
        <is>
          <t>Sprint 0</t>
        </is>
      </c>
      <c r="C12" s="11" t="inlineStr">
        <is>
          <t>Dokumentasi</t>
        </is>
      </c>
      <c r="D12" s="12" t="inlineStr">
        <is>
          <t>Sinkronkan CICD-GUIDE.md dengan implementasi Go/Gin aktual</t>
        </is>
      </c>
      <c r="E12" s="11" t="inlineStr">
        <is>
          <t>L1</t>
        </is>
      </c>
      <c r="F12" s="18" t="inlineStr">
        <is>
          <t>Could</t>
        </is>
      </c>
      <c r="G12" s="14" t="inlineStr">
        <is>
          <t>Selesai</t>
        </is>
      </c>
      <c r="H12" s="11" t="inlineStr"/>
      <c r="I12" s="11" t="n">
        <v>1</v>
      </c>
      <c r="J12" s="12" t="inlineStr">
        <is>
          <t>CICD-GUIDE.md</t>
        </is>
      </c>
    </row>
    <row r="13">
      <c r="A13" s="15" t="n">
        <v>12</v>
      </c>
      <c r="B13" s="15" t="inlineStr">
        <is>
          <t>Sprint 0</t>
        </is>
      </c>
      <c r="C13" s="15" t="inlineStr">
        <is>
          <t>CI/CD</t>
        </is>
      </c>
      <c r="D13" s="16" t="inlineStr">
        <is>
          <t>Buat skrip rollback manual (mitigasi sementara sebelum workflow_dispatch)</t>
        </is>
      </c>
      <c r="E13" s="15" t="inlineStr">
        <is>
          <t>L2</t>
        </is>
      </c>
      <c r="F13" s="17" t="inlineStr">
        <is>
          <t>Should</t>
        </is>
      </c>
      <c r="G13" s="14" t="inlineStr">
        <is>
          <t>Selesai</t>
        </is>
      </c>
      <c r="H13" s="15" t="inlineStr"/>
      <c r="I13" s="15" t="n">
        <v>0.5</v>
      </c>
      <c r="J13" s="16" t="inlineStr">
        <is>
          <t>scripts/rollback.sh</t>
        </is>
      </c>
    </row>
    <row r="14">
      <c r="A14" s="11" t="n">
        <v>13</v>
      </c>
      <c r="B14" s="11" t="inlineStr">
        <is>
          <t>Sprint 0</t>
        </is>
      </c>
      <c r="C14" s="11" t="inlineStr">
        <is>
          <t>BE</t>
        </is>
      </c>
      <c r="D14" s="12" t="inlineStr">
        <is>
          <t>Tambah golangci-lint ke pipeline (linting Go masih minim, hanya go vet)</t>
        </is>
      </c>
      <c r="E14" s="11" t="inlineStr">
        <is>
          <t>L3</t>
        </is>
      </c>
      <c r="F14" s="18" t="inlineStr">
        <is>
          <t>Could</t>
        </is>
      </c>
      <c r="G14" s="14" t="inlineStr">
        <is>
          <t>Selesai</t>
        </is>
      </c>
      <c r="H14" s="11" t="inlineStr"/>
      <c r="I14" s="11" t="n">
        <v>0.5</v>
      </c>
      <c r="J14" s="12" t="inlineStr">
        <is>
          <t>Aktif di ci.yml sebagai blocking gate, install-mode: goinstall</t>
        </is>
      </c>
    </row>
    <row r="15">
      <c r="A15" s="15" t="n">
        <v>14</v>
      </c>
      <c r="B15" s="15" t="inlineStr">
        <is>
          <t>Sprint 0</t>
        </is>
      </c>
      <c r="C15" s="15" t="inlineStr">
        <is>
          <t>BE</t>
        </is>
      </c>
      <c r="D15" s="16" t="inlineStr">
        <is>
          <t>Scaffold subcommand worker + job queue (asynq) untuk proses async</t>
        </is>
      </c>
      <c r="E15" s="15" t="inlineStr">
        <is>
          <t>L4</t>
        </is>
      </c>
      <c r="F15" s="17" t="inlineStr">
        <is>
          <t>Should</t>
        </is>
      </c>
      <c r="G15" s="19" t="inlineStr">
        <is>
          <t>Belum Mulai</t>
        </is>
      </c>
      <c r="H15" s="15" t="inlineStr"/>
      <c r="I15" s="15" t="n">
        <v>2</v>
      </c>
      <c r="J15" s="16" t="inlineStr">
        <is>
          <t>Prasyarat untuk Sprint 2 &amp; 3</t>
        </is>
      </c>
    </row>
    <row r="16">
      <c r="A16" s="11" t="n">
        <v>15</v>
      </c>
      <c r="B16" s="11" t="inlineStr">
        <is>
          <t>Sprint 0</t>
        </is>
      </c>
      <c r="C16" s="11" t="inlineStr">
        <is>
          <t>Infra</t>
        </is>
      </c>
      <c r="D16" s="12" t="inlineStr">
        <is>
          <t>Push kode ke GitHub (git init, remote, push pertama)</t>
        </is>
      </c>
      <c r="E16" s="11" t="inlineStr">
        <is>
          <t>SETUP-GUIDE §1</t>
        </is>
      </c>
      <c r="F16" s="13" t="inlineStr">
        <is>
          <t>Must</t>
        </is>
      </c>
      <c r="G16" s="14" t="inlineStr">
        <is>
          <t>Selesai</t>
        </is>
      </c>
      <c r="H16" s="11" t="inlineStr"/>
      <c r="I16" s="11" t="n">
        <v>0.5</v>
      </c>
      <c r="J16" s="12" t="inlineStr">
        <is>
          <t>Sudah push ke github.com/Ijeon-Corp/JeonMe</t>
        </is>
      </c>
    </row>
    <row r="17">
      <c r="A17" s="15" t="n">
        <v>16</v>
      </c>
      <c r="B17" s="15" t="inlineStr">
        <is>
          <t>Sprint 0</t>
        </is>
      </c>
      <c r="C17" s="15" t="inlineStr">
        <is>
          <t>Infra</t>
        </is>
      </c>
      <c r="D17" s="16" t="inlineStr">
        <is>
          <t>Provisioning 2 VPS (staging &amp; production) via scripts/provision-vps.sh</t>
        </is>
      </c>
      <c r="E17" s="15" t="inlineStr">
        <is>
          <t>SETUP-GUIDE §2</t>
        </is>
      </c>
      <c r="F17" s="13" t="inlineStr">
        <is>
          <t>Must</t>
        </is>
      </c>
      <c r="G17" s="14" t="inlineStr">
        <is>
          <t>Selesai</t>
        </is>
      </c>
      <c r="H17" s="15" t="inlineStr"/>
      <c r="I17" s="15" t="n">
        <v>1</v>
      </c>
      <c r="J17" s="16" t="inlineStr">
        <is>
          <t>Kedua environment (staging + production) live di VPS 103.147.33.34</t>
        </is>
      </c>
    </row>
    <row r="18">
      <c r="A18" s="11" t="n">
        <v>17</v>
      </c>
      <c r="B18" s="11" t="inlineStr">
        <is>
          <t>Sprint 0</t>
        </is>
      </c>
      <c r="C18" s="11" t="inlineStr">
        <is>
          <t>Infra</t>
        </is>
      </c>
      <c r="D18" s="12" t="inlineStr">
        <is>
          <t>Isi .env di kedua VPS (GHCR_REPO, JWT_SECRET, dsb)</t>
        </is>
      </c>
      <c r="E18" s="11" t="inlineStr">
        <is>
          <t>SETUP-GUIDE §3</t>
        </is>
      </c>
      <c r="F18" s="13" t="inlineStr">
        <is>
          <t>Must</t>
        </is>
      </c>
      <c r="G18" s="14" t="inlineStr">
        <is>
          <t>Selesai</t>
        </is>
      </c>
      <c r="H18" s="11" t="inlineStr"/>
      <c r="I18" s="11" t="n">
        <v>0.5</v>
      </c>
      <c r="J18" s="12" t="inlineStr">
        <is>
          <t>Terisi, lihat SETUP-GUIDE.md</t>
        </is>
      </c>
    </row>
    <row r="19">
      <c r="A19" s="15" t="n">
        <v>18</v>
      </c>
      <c r="B19" s="15" t="inlineStr">
        <is>
          <t>Sprint 0</t>
        </is>
      </c>
      <c r="C19" s="15" t="inlineStr">
        <is>
          <t>Infra</t>
        </is>
      </c>
      <c r="D19" s="16" t="inlineStr">
        <is>
          <t>Buat token GHCR &amp; uji docker login manual di VPS</t>
        </is>
      </c>
      <c r="E19" s="15" t="inlineStr">
        <is>
          <t>SETUP-GUIDE §4</t>
        </is>
      </c>
      <c r="F19" s="13" t="inlineStr">
        <is>
          <t>Must</t>
        </is>
      </c>
      <c r="G19" s="14" t="inlineStr">
        <is>
          <t>Selesai</t>
        </is>
      </c>
      <c r="H19" s="15" t="inlineStr"/>
      <c r="I19" s="15" t="n">
        <v>0.5</v>
      </c>
      <c r="J19" s="16" t="inlineStr">
        <is>
          <t>Token GHCR aktif, dipakai CI/CD</t>
        </is>
      </c>
    </row>
    <row r="20">
      <c r="A20" s="11" t="n">
        <v>19</v>
      </c>
      <c r="B20" s="11" t="inlineStr">
        <is>
          <t>Sprint 0</t>
        </is>
      </c>
      <c r="C20" s="11" t="inlineStr">
        <is>
          <t>Infra</t>
        </is>
      </c>
      <c r="D20" s="12" t="inlineStr">
        <is>
          <t>Setel GitHub Secrets &amp; Environments (staging + production + required reviewer)</t>
        </is>
      </c>
      <c r="E20" s="11" t="inlineStr">
        <is>
          <t>SETUP-GUIDE §5</t>
        </is>
      </c>
      <c r="F20" s="13" t="inlineStr">
        <is>
          <t>Must</t>
        </is>
      </c>
      <c r="G20" s="14" t="inlineStr">
        <is>
          <t>Selesai</t>
        </is>
      </c>
      <c r="H20" s="11" t="inlineStr"/>
      <c r="I20" s="11" t="n">
        <v>0.5</v>
      </c>
      <c r="J20" s="12" t="inlineStr">
        <is>
          <t>Secrets &amp; Environments (staging/production) terkonfigurasi, required reviewer aktif untuk production</t>
        </is>
      </c>
    </row>
    <row r="21">
      <c r="A21" s="15" t="n">
        <v>20</v>
      </c>
      <c r="B21" s="15" t="inlineStr">
        <is>
          <t>Sprint 0</t>
        </is>
      </c>
      <c r="C21" s="15" t="inlineStr">
        <is>
          <t>Infra</t>
        </is>
      </c>
      <c r="D21" s="16" t="inlineStr">
        <is>
          <t>Arahkan DNS Cloudflare (jeonme.com, www, staging.jeonme.com)</t>
        </is>
      </c>
      <c r="E21" s="15" t="inlineStr">
        <is>
          <t>SETUP-GUIDE §6</t>
        </is>
      </c>
      <c r="F21" s="13" t="inlineStr">
        <is>
          <t>Must</t>
        </is>
      </c>
      <c r="G21" s="14" t="inlineStr">
        <is>
          <t>Selesai</t>
        </is>
      </c>
      <c r="H21" s="15" t="inlineStr"/>
      <c r="I21" s="15" t="n">
        <v>0.5</v>
      </c>
      <c r="J21" s="16" t="inlineStr">
        <is>
          <t>DNS Cloudflare sudah diarahkan, live</t>
        </is>
      </c>
    </row>
    <row r="22">
      <c r="A22" s="11" t="n">
        <v>21</v>
      </c>
      <c r="B22" s="11" t="inlineStr">
        <is>
          <t>Sprint 0</t>
        </is>
      </c>
      <c r="C22" s="11" t="inlineStr">
        <is>
          <t>Infra</t>
        </is>
      </c>
      <c r="D22" s="12" t="inlineStr">
        <is>
          <t>Terbitkan sertifikat TLS production via scripts/issue-certbot-cert.sh</t>
        </is>
      </c>
      <c r="E22" s="11" t="inlineStr">
        <is>
          <t>SETUP-GUIDE §7</t>
        </is>
      </c>
      <c r="F22" s="13" t="inlineStr">
        <is>
          <t>Must</t>
        </is>
      </c>
      <c r="G22" s="14" t="inlineStr">
        <is>
          <t>Selesai</t>
        </is>
      </c>
      <c r="H22" s="11" t="inlineStr"/>
      <c r="I22" s="11" t="n">
        <v>0.5</v>
      </c>
      <c r="J22" s="12" t="inlineStr">
        <is>
          <t>Sertifikat TLS terbit via certbot, auto-renew lewat certbot.timer</t>
        </is>
      </c>
    </row>
    <row r="23">
      <c r="A23" s="15" t="n">
        <v>22</v>
      </c>
      <c r="B23" s="15" t="inlineStr">
        <is>
          <t>Sprint 0</t>
        </is>
      </c>
      <c r="C23" s="15" t="inlineStr">
        <is>
          <t>Infra</t>
        </is>
      </c>
      <c r="D23" s="16" t="inlineStr">
        <is>
          <t>Deploy pertama ke staging (push ke main) &amp; verifikasi /api/health</t>
        </is>
      </c>
      <c r="E23" s="15" t="inlineStr">
        <is>
          <t>SETUP-GUIDE §8</t>
        </is>
      </c>
      <c r="F23" s="13" t="inlineStr">
        <is>
          <t>Must</t>
        </is>
      </c>
      <c r="G23" s="14" t="inlineStr">
        <is>
          <t>Selesai</t>
        </is>
      </c>
      <c r="H23" s="15" t="inlineStr"/>
      <c r="I23" s="15" t="n">
        <v>0.5</v>
      </c>
      <c r="J23" s="16" t="inlineStr">
        <is>
          <t>staging.jeonme.com live, /api/health terverifikasi</t>
        </is>
      </c>
    </row>
    <row r="24">
      <c r="A24" s="11" t="n">
        <v>23</v>
      </c>
      <c r="B24" s="11" t="inlineStr">
        <is>
          <t>Sprint 0</t>
        </is>
      </c>
      <c r="C24" s="11" t="inlineStr">
        <is>
          <t>Infra</t>
        </is>
      </c>
      <c r="D24" s="12" t="inlineStr">
        <is>
          <t>Deploy pertama ke production (tag v0.1.0) &amp; verifikasi /api/health</t>
        </is>
      </c>
      <c r="E24" s="11" t="inlineStr">
        <is>
          <t>SETUP-GUIDE §9</t>
        </is>
      </c>
      <c r="F24" s="13" t="inlineStr">
        <is>
          <t>Must</t>
        </is>
      </c>
      <c r="G24" s="14" t="inlineStr">
        <is>
          <t>Selesai</t>
        </is>
      </c>
      <c r="H24" s="11" t="inlineStr"/>
      <c r="I24" s="11" t="n">
        <v>0.5</v>
      </c>
      <c r="J24" s="12" t="inlineStr">
        <is>
          <t>jeonme.com live sejak rilis v0.1.0, /api/health terverifikasi</t>
        </is>
      </c>
    </row>
    <row r="25">
      <c r="A25" s="15" t="n">
        <v>24</v>
      </c>
      <c r="B25" s="15" t="inlineStr">
        <is>
          <t>Sprint 1</t>
        </is>
      </c>
      <c r="C25" s="15" t="inlineStr">
        <is>
          <t>BE</t>
        </is>
      </c>
      <c r="D25" s="16" t="inlineStr">
        <is>
          <t>OAuth Google login</t>
        </is>
      </c>
      <c r="E25" s="15" t="inlineStr">
        <is>
          <t>REQ-F-101</t>
        </is>
      </c>
      <c r="F25" s="13" t="inlineStr">
        <is>
          <t>Must</t>
        </is>
      </c>
      <c r="G25" s="20" t="inlineStr">
        <is>
          <t>Diblokir</t>
        </is>
      </c>
      <c r="H25" s="15" t="inlineStr"/>
      <c r="I25" s="15" t="n">
        <v>2</v>
      </c>
      <c r="J25" s="16" t="inlineStr">
        <is>
          <t>Butuh GOOGLE_CLIENT_ID/SECRET dari Google Cloud Console (belum ada) -- endpoint lain di AuthHandler sudah siap menampung begitu credential tersedia</t>
        </is>
      </c>
    </row>
    <row r="26">
      <c r="A26" s="11" t="n">
        <v>25</v>
      </c>
      <c r="B26" s="11" t="inlineStr">
        <is>
          <t>Sprint 1</t>
        </is>
      </c>
      <c r="C26" s="11" t="inlineStr">
        <is>
          <t>BE</t>
        </is>
      </c>
      <c r="D26" s="12" t="inlineStr">
        <is>
          <t>Reset password via email</t>
        </is>
      </c>
      <c r="E26" s="11" t="inlineStr">
        <is>
          <t>REQ-F-103</t>
        </is>
      </c>
      <c r="F26" s="13" t="inlineStr">
        <is>
          <t>Must</t>
        </is>
      </c>
      <c r="G26" s="14" t="inlineStr">
        <is>
          <t>Selesai</t>
        </is>
      </c>
      <c r="H26" s="11" t="inlineStr"/>
      <c r="I26" s="11" t="n">
        <v>1</v>
      </c>
      <c r="J26" s="12" t="inlineStr">
        <is>
          <t>POST /auth/password-reset/request+confirm, token sekali pakai TTL 1 jam. Pengiriman email sungguhan masih TODO (belum ada provider SMTP)</t>
        </is>
      </c>
    </row>
    <row r="27">
      <c r="A27" s="15" t="n">
        <v>26</v>
      </c>
      <c r="B27" s="15" t="inlineStr">
        <is>
          <t>Sprint 1</t>
        </is>
      </c>
      <c r="C27" s="15" t="inlineStr">
        <is>
          <t>BE</t>
        </is>
      </c>
      <c r="D27" s="16" t="inlineStr">
        <is>
          <t>Verifikasi email sebelum kreator terima pembayaran</t>
        </is>
      </c>
      <c r="E27" s="15" t="inlineStr">
        <is>
          <t>REQ-F-104</t>
        </is>
      </c>
      <c r="F27" s="13" t="inlineStr">
        <is>
          <t>Must</t>
        </is>
      </c>
      <c r="G27" s="14" t="inlineStr">
        <is>
          <t>Selesai</t>
        </is>
      </c>
      <c r="H27" s="15" t="inlineStr"/>
      <c r="I27" s="15" t="n">
        <v>1.5</v>
      </c>
      <c r="J27" s="16" t="inlineStr">
        <is>
          <t>POST /auth/email-verification/request+confirm, token TTL 24 jam. Sama seperti reset password, pengiriman email masih TODO</t>
        </is>
      </c>
    </row>
    <row r="28">
      <c r="A28" s="11" t="n">
        <v>27</v>
      </c>
      <c r="B28" s="11" t="inlineStr">
        <is>
          <t>Sprint 1</t>
        </is>
      </c>
      <c r="C28" s="11" t="inlineStr">
        <is>
          <t>BE</t>
        </is>
      </c>
      <c r="D28" s="12" t="inlineStr">
        <is>
          <t>Revoke sesi / logout semua perangkat</t>
        </is>
      </c>
      <c r="E28" s="11" t="inlineStr">
        <is>
          <t>REQ-F-106</t>
        </is>
      </c>
      <c r="F28" s="17" t="inlineStr">
        <is>
          <t>Should</t>
        </is>
      </c>
      <c r="G28" s="14" t="inlineStr">
        <is>
          <t>Selesai</t>
        </is>
      </c>
      <c r="H28" s="11" t="inlineStr"/>
      <c r="I28" s="11" t="n">
        <v>1</v>
      </c>
      <c r="J28" s="12" t="inlineStr">
        <is>
          <t>POST /auth/logout menaruh jti ke denylist Redis, AuthRequired menolak token yang jti-nya di-revoke. Diverifikasi: token ditolak 401 setelah logout</t>
        </is>
      </c>
    </row>
    <row r="29">
      <c r="A29" s="15" t="n">
        <v>28</v>
      </c>
      <c r="B29" s="15" t="inlineStr">
        <is>
          <t>Sprint 1</t>
        </is>
      </c>
      <c r="C29" s="15" t="inlineStr">
        <is>
          <t>BE+FE</t>
        </is>
      </c>
      <c r="D29" s="16" t="inlineStr">
        <is>
          <t>CRUD tautan (tambah/edit/hapus/urutkan drag-and-drop)</t>
        </is>
      </c>
      <c r="E29" s="15" t="inlineStr">
        <is>
          <t>REQ-F-202</t>
        </is>
      </c>
      <c r="F29" s="13" t="inlineStr">
        <is>
          <t>Must</t>
        </is>
      </c>
      <c r="G29" s="14" t="inlineStr">
        <is>
          <t>Selesai</t>
        </is>
      </c>
      <c r="H29" s="15" t="inlineStr"/>
      <c r="I29" s="15" t="n">
        <v>3</v>
      </c>
      <c r="J29" s="16" t="inlineStr">
        <is>
          <t>CRUD penuh + reorder drag-and-drop di dashboard/links, ownership ditegakkan (user lain 404 saat coba edit/hapus tautan orang lain)</t>
        </is>
      </c>
    </row>
    <row r="30">
      <c r="A30" s="11" t="n">
        <v>29</v>
      </c>
      <c r="B30" s="11" t="inlineStr">
        <is>
          <t>Sprint 1</t>
        </is>
      </c>
      <c r="C30" s="11" t="inlineStr">
        <is>
          <t>BE+FE</t>
        </is>
      </c>
      <c r="D30" s="12" t="inlineStr">
        <is>
          <t>Nonaktifkan sementara tautan tanpa menghapus</t>
        </is>
      </c>
      <c r="E30" s="11" t="inlineStr">
        <is>
          <t>REQ-F-203</t>
        </is>
      </c>
      <c r="F30" s="17" t="inlineStr">
        <is>
          <t>Should</t>
        </is>
      </c>
      <c r="G30" s="14" t="inlineStr">
        <is>
          <t>Selesai</t>
        </is>
      </c>
      <c r="H30" s="11" t="inlineStr"/>
      <c r="I30" s="11" t="n">
        <v>0.5</v>
      </c>
      <c r="J30" s="12" t="inlineStr">
        <is>
          <t>Bagian dari update Links -- toggle is_active di UI yang sama</t>
        </is>
      </c>
    </row>
    <row r="31">
      <c r="A31" s="15" t="n">
        <v>30</v>
      </c>
      <c r="B31" s="15" t="inlineStr">
        <is>
          <t>Sprint 1</t>
        </is>
      </c>
      <c r="C31" s="15" t="inlineStr">
        <is>
          <t>BE+FE</t>
        </is>
      </c>
      <c r="D31" s="16" t="inlineStr">
        <is>
          <t>Pilihan tema (warna, font, layout) dari preset</t>
        </is>
      </c>
      <c r="E31" s="15" t="inlineStr">
        <is>
          <t>REQ-F-204</t>
        </is>
      </c>
      <c r="F31" s="17" t="inlineStr">
        <is>
          <t>Should</t>
        </is>
      </c>
      <c r="G31" s="14" t="inlineStr">
        <is>
          <t>Selesai</t>
        </is>
      </c>
      <c r="H31" s="15" t="inlineStr"/>
      <c r="I31" s="15" t="n">
        <v>2</v>
      </c>
      <c r="J31" s="16" t="inlineStr">
        <is>
          <t>5 preset (default/midnight/sunrise/forest/minimal) via PATCH /dashboard/page, dipilih dari dashboard/links</t>
        </is>
      </c>
    </row>
    <row r="32">
      <c r="A32" s="11" t="n">
        <v>31</v>
      </c>
      <c r="B32" s="11" t="inlineStr">
        <is>
          <t>Sprint 1</t>
        </is>
      </c>
      <c r="C32" s="11" t="inlineStr">
        <is>
          <t>BE+FE</t>
        </is>
      </c>
      <c r="D32" s="12" t="inlineStr">
        <is>
          <t>Upload foto profil &amp; bio singkat (maks 160 karakter)</t>
        </is>
      </c>
      <c r="E32" s="11" t="inlineStr">
        <is>
          <t>REQ-F-205</t>
        </is>
      </c>
      <c r="F32" s="13" t="inlineStr">
        <is>
          <t>Must</t>
        </is>
      </c>
      <c r="G32" s="20" t="inlineStr">
        <is>
          <t>Sebagian</t>
        </is>
      </c>
      <c r="H32" s="11" t="inlineStr"/>
      <c r="I32" s="11" t="n">
        <v>1.5</v>
      </c>
      <c r="J32" s="12" t="inlineStr">
        <is>
          <t>Bio sudah bisa diedit; upload FOTO PROFIL masih menunggu object storage (Sprint 2, task No 40) -- avatar_url di skema belum ada jalan untuk diisi</t>
        </is>
      </c>
    </row>
    <row r="33">
      <c r="A33" s="15" t="n">
        <v>32</v>
      </c>
      <c r="B33" s="15" t="inlineStr">
        <is>
          <t>Sprint 1</t>
        </is>
      </c>
      <c r="C33" s="15" t="inlineStr">
        <is>
          <t>FE</t>
        </is>
      </c>
      <c r="D33" s="16" t="inlineStr">
        <is>
          <t>Meta tag Open Graph di halaman publik</t>
        </is>
      </c>
      <c r="E33" s="15" t="inlineStr">
        <is>
          <t>REQ-F-206</t>
        </is>
      </c>
      <c r="F33" s="17" t="inlineStr">
        <is>
          <t>Should</t>
        </is>
      </c>
      <c r="G33" s="14" t="inlineStr">
        <is>
          <t>Selesai</t>
        </is>
      </c>
      <c r="H33" s="15" t="inlineStr"/>
      <c r="I33" s="15" t="n">
        <v>0.5</v>
      </c>
      <c r="J33" s="16" t="inlineStr">
        <is>
          <t>generateMetadata (OpenGraph + Twitter card) di app/[username]/page.tsx</t>
        </is>
      </c>
    </row>
    <row r="34">
      <c r="A34" s="11" t="n">
        <v>33</v>
      </c>
      <c r="B34" s="11" t="inlineStr">
        <is>
          <t>Sprint 1</t>
        </is>
      </c>
      <c r="C34" s="11" t="inlineStr">
        <is>
          <t>BE</t>
        </is>
      </c>
      <c r="D34" s="12" t="inlineStr">
        <is>
          <t>Cache Redis untuk halaman publik (endpoint trafik tertinggi)</t>
        </is>
      </c>
      <c r="E34" s="11" t="inlineStr">
        <is>
          <t>NF-01, NF-02</t>
        </is>
      </c>
      <c r="F34" s="13" t="inlineStr">
        <is>
          <t>Must</t>
        </is>
      </c>
      <c r="G34" s="14" t="inlineStr">
        <is>
          <t>Selesai</t>
        </is>
      </c>
      <c r="H34" s="11" t="inlineStr"/>
      <c r="I34" s="11" t="n">
        <v>1.5</v>
      </c>
      <c r="J34" s="12" t="inlineStr">
        <is>
          <t>Cache-aside 30 detik di GetPublicPage (key page:&lt;username&gt;), diverifikasi X-Cache: MISS lalu HIT. Invalidate saat UpdateMyPage</t>
        </is>
      </c>
    </row>
    <row r="35">
      <c r="A35" s="15" t="n">
        <v>34</v>
      </c>
      <c r="B35" s="15" t="inlineStr">
        <is>
          <t>Sprint 1</t>
        </is>
      </c>
      <c r="C35" s="15" t="inlineStr">
        <is>
          <t>FE</t>
        </is>
      </c>
      <c r="D35" s="16" t="inlineStr">
        <is>
          <t>Proteksi sesi login di dashboard (redirect ke /login jika token tidak ada)</t>
        </is>
      </c>
      <c r="E35" s="15" t="inlineStr">
        <is>
          <t>REQ-F-106</t>
        </is>
      </c>
      <c r="F35" s="13" t="inlineStr">
        <is>
          <t>Must</t>
        </is>
      </c>
      <c r="G35" s="14" t="inlineStr">
        <is>
          <t>Selesai</t>
        </is>
      </c>
      <c r="H35" s="15" t="inlineStr"/>
      <c r="I35" s="15" t="n">
        <v>1</v>
      </c>
      <c r="J35" s="16" t="inlineStr">
        <is>
          <t>AuthGuard client component, redirect ke /login kalau token kosong. Diverifikasi end-to-end di browser (register -&gt; dashboard tanpa 404/mismatch)</t>
        </is>
      </c>
    </row>
    <row r="36">
      <c r="A36" s="11" t="n">
        <v>35</v>
      </c>
      <c r="B36" s="11" t="inlineStr">
        <is>
          <t>Sprint 1</t>
        </is>
      </c>
      <c r="C36" s="11" t="inlineStr">
        <is>
          <t>FE</t>
        </is>
      </c>
      <c r="D36" s="12" t="inlineStr">
        <is>
          <t>Buat halaman /dashboard/links, /dashboard/products, /dashboard/balance</t>
        </is>
      </c>
      <c r="E36" s="11" t="inlineStr">
        <is>
          <t>-</t>
        </is>
      </c>
      <c r="F36" s="13" t="inlineStr">
        <is>
          <t>Must</t>
        </is>
      </c>
      <c r="G36" s="14" t="inlineStr">
        <is>
          <t>Selesai</t>
        </is>
      </c>
      <c r="H36" s="11" t="inlineStr"/>
      <c r="I36" s="11" t="n">
        <v>2</v>
      </c>
      <c r="J36" s="12" t="inlineStr">
        <is>
          <t>dashboard/links (pengaturan halaman+tautan), dashboard/products (list+create), dashboard/balance (placeholder menunggu Sprint 4) -- sudah tidak 404</t>
        </is>
      </c>
    </row>
    <row r="37">
      <c r="A37" s="15" t="n">
        <v>36</v>
      </c>
      <c r="B37" s="15" t="inlineStr">
        <is>
          <t>Sprint 2</t>
        </is>
      </c>
      <c r="C37" s="15" t="inlineStr">
        <is>
          <t>BE</t>
        </is>
      </c>
      <c r="D37" s="16" t="inlineStr">
        <is>
          <t>Lengkapi update &amp; delete produk</t>
        </is>
      </c>
      <c r="E37" s="15" t="inlineStr">
        <is>
          <t>REQ-F-301</t>
        </is>
      </c>
      <c r="F37" s="13" t="inlineStr">
        <is>
          <t>Must</t>
        </is>
      </c>
      <c r="G37" s="14" t="inlineStr">
        <is>
          <t>Selesai</t>
        </is>
      </c>
      <c r="H37" s="15" t="inlineStr"/>
      <c r="I37" s="15" t="n">
        <v>1</v>
      </c>
      <c r="J37" s="16" t="inlineStr">
        <is>
          <t>PATCH/DELETE /dashboard/products/:id, ownership ditegakkan (diuji: user lain 404)</t>
        </is>
      </c>
    </row>
    <row r="38">
      <c r="A38" s="11" t="n">
        <v>37</v>
      </c>
      <c r="B38" s="11" t="inlineStr">
        <is>
          <t>Sprint 2</t>
        </is>
      </c>
      <c r="C38" s="11" t="inlineStr">
        <is>
          <t>BE</t>
        </is>
      </c>
      <c r="D38" s="12" t="inlineStr">
        <is>
          <t>Validasi tipe/ukuran file + pemindaian dasar file berbahaya</t>
        </is>
      </c>
      <c r="E38" s="11" t="inlineStr">
        <is>
          <t>REQ-F-302</t>
        </is>
      </c>
      <c r="F38" s="13" t="inlineStr">
        <is>
          <t>Must</t>
        </is>
      </c>
      <c r="G38" s="14" t="inlineStr">
        <is>
          <t>Selesai</t>
        </is>
      </c>
      <c r="H38" s="11" t="inlineStr"/>
      <c r="I38" s="11" t="n">
        <v>2</v>
      </c>
      <c r="J38" s="12" t="inlineStr">
        <is>
          <t>Whitelist ekstensi (pdf/zip/epub/mp4/mp3/mov/gambar) + batas 100MB. 'Pemindaian dasar' = whitelist ekstensi, BUKAN antivirus/malware scan sungguhan -- catat sebagai batasan MVP</t>
        </is>
      </c>
    </row>
    <row r="39">
      <c r="A39" s="15" t="n">
        <v>38</v>
      </c>
      <c r="B39" s="15" t="inlineStr">
        <is>
          <t>Sprint 2</t>
        </is>
      </c>
      <c r="C39" s="15" t="inlineStr">
        <is>
          <t>BE+FE</t>
        </is>
      </c>
      <c r="D39" s="16" t="inlineStr">
        <is>
          <t>Aktifkan/nonaktifkan produk dari tampilan publik</t>
        </is>
      </c>
      <c r="E39" s="15" t="inlineStr">
        <is>
          <t>REQ-F-303</t>
        </is>
      </c>
      <c r="F39" s="13" t="inlineStr">
        <is>
          <t>Must</t>
        </is>
      </c>
      <c r="G39" s="14" t="inlineStr">
        <is>
          <t>Selesai</t>
        </is>
      </c>
      <c r="H39" s="15" t="inlineStr"/>
      <c r="I39" s="15" t="n">
        <v>1</v>
      </c>
      <c r="J39" s="16" t="inlineStr">
        <is>
          <t>is_active=true ditolak (400) selama file_key kosong, diuji end-to-end di browser</t>
        </is>
      </c>
    </row>
    <row r="40">
      <c r="A40" s="11" t="n">
        <v>39</v>
      </c>
      <c r="B40" s="11" t="inlineStr">
        <is>
          <t>Sprint 2</t>
        </is>
      </c>
      <c r="C40" s="11" t="inlineStr">
        <is>
          <t>BE</t>
        </is>
      </c>
      <c r="D40" s="12" t="inlineStr">
        <is>
          <t>Signed URL unduhan aman &amp; kedaluwarsa</t>
        </is>
      </c>
      <c r="E40" s="11" t="inlineStr">
        <is>
          <t>REQ-F-304</t>
        </is>
      </c>
      <c r="F40" s="13" t="inlineStr">
        <is>
          <t>Must</t>
        </is>
      </c>
      <c r="G40" s="14" t="inlineStr">
        <is>
          <t>Selesai</t>
        </is>
      </c>
      <c r="H40" s="11" t="inlineStr"/>
      <c r="I40" s="11" t="n">
        <v>2</v>
      </c>
      <c r="J40" s="12" t="inlineStr">
        <is>
          <t>PresignedGetObject 15 menit, diverifikasi bisa diunduh &amp; benar-benar berisi file yang diunggah</t>
        </is>
      </c>
    </row>
    <row r="41">
      <c r="A41" s="15" t="n">
        <v>40</v>
      </c>
      <c r="B41" s="15" t="inlineStr">
        <is>
          <t>Sprint 2</t>
        </is>
      </c>
      <c r="C41" s="15" t="inlineStr">
        <is>
          <t>Infra</t>
        </is>
      </c>
      <c r="D41" s="16" t="inlineStr">
        <is>
          <t>Integrasi object storage S3-compatible (MinIO self-hosted / Cloudflare R2)</t>
        </is>
      </c>
      <c r="E41" s="15" t="inlineStr">
        <is>
          <t>-</t>
        </is>
      </c>
      <c r="F41" s="13" t="inlineStr">
        <is>
          <t>Must</t>
        </is>
      </c>
      <c r="G41" s="14" t="inlineStr">
        <is>
          <t>Selesai</t>
        </is>
      </c>
      <c r="H41" s="15" t="inlineStr"/>
      <c r="I41" s="15" t="n">
        <v>3</v>
      </c>
      <c r="J41" s="16" t="inlineStr">
        <is>
          <t>MinIO self-hosted (bukan R2) -- service baru di docker-compose.yml/.staging.yml/.prod.yml, bucket auto-dibuat saat startup. Signed download URL (REQ-F-304) diekspos publik lewat subdomain storage.jeonme.com/storage-staging.jeonme.com (Apache reverse-proxy + TLS, port MinIO non-default 29000/29100 karena VPS shared -- lihat bug #14/#15 CICD-GUIDE.md). Diverifikasi end-to-end: upload+aktivasi+unduh via URL publik sungguhan dari luar VPS.</t>
        </is>
      </c>
    </row>
    <row r="42">
      <c r="A42" s="11" t="n">
        <v>41</v>
      </c>
      <c r="B42" s="11" t="inlineStr">
        <is>
          <t>Sprint 2</t>
        </is>
      </c>
      <c r="C42" s="11" t="inlineStr">
        <is>
          <t>BE</t>
        </is>
      </c>
      <c r="D42" s="12" t="inlineStr">
        <is>
          <t>Aktifkan subcommand worker + job queue (asynq berbasis Redis)</t>
        </is>
      </c>
      <c r="E42" s="11" t="inlineStr">
        <is>
          <t>L4</t>
        </is>
      </c>
      <c r="F42" s="17" t="inlineStr">
        <is>
          <t>Should</t>
        </is>
      </c>
      <c r="G42" s="19" t="inlineStr">
        <is>
          <t>Belum Mulai</t>
        </is>
      </c>
      <c r="H42" s="11" t="inlineStr"/>
      <c r="I42" s="11" t="n">
        <v>2</v>
      </c>
      <c r="J42" s="12" t="inlineStr">
        <is>
          <t>Prasyarat notifikasi async di Sprint 3</t>
        </is>
      </c>
    </row>
    <row r="43">
      <c r="A43" s="15" t="n">
        <v>42</v>
      </c>
      <c r="B43" s="15" t="inlineStr">
        <is>
          <t>Sprint 3</t>
        </is>
      </c>
      <c r="C43" s="15" t="inlineStr">
        <is>
          <t>Ops</t>
        </is>
      </c>
      <c r="D43" s="16" t="inlineStr">
        <is>
          <t>Aktifkan akun sandbox Xendit (dependensi blocking sebelum coding)</t>
        </is>
      </c>
      <c r="E43" s="15" t="inlineStr">
        <is>
          <t>-</t>
        </is>
      </c>
      <c r="F43" s="13" t="inlineStr">
        <is>
          <t>Must</t>
        </is>
      </c>
      <c r="G43" s="19" t="inlineStr">
        <is>
          <t>Belum Mulai</t>
        </is>
      </c>
      <c r="H43" s="15" t="inlineStr"/>
      <c r="I43" s="15" t="n">
        <v>1</v>
      </c>
      <c r="J43" s="16" t="inlineStr">
        <is>
          <t>Wajib beres sebelum mulai sprint ini</t>
        </is>
      </c>
    </row>
    <row r="44">
      <c r="A44" s="11" t="n">
        <v>43</v>
      </c>
      <c r="B44" s="11" t="inlineStr">
        <is>
          <t>Sprint 3</t>
        </is>
      </c>
      <c r="C44" s="11" t="inlineStr">
        <is>
          <t>BE</t>
        </is>
      </c>
      <c r="D44" s="12" t="inlineStr">
        <is>
          <t>Checkout tanpa akun (cukup email/WhatsApp)</t>
        </is>
      </c>
      <c r="E44" s="11" t="inlineStr">
        <is>
          <t>REQ-F-401</t>
        </is>
      </c>
      <c r="F44" s="13" t="inlineStr">
        <is>
          <t>Must</t>
        </is>
      </c>
      <c r="G44" s="19" t="inlineStr">
        <is>
          <t>Belum Mulai</t>
        </is>
      </c>
      <c r="H44" s="11" t="inlineStr"/>
      <c r="I44" s="11" t="n">
        <v>2</v>
      </c>
      <c r="J44" s="12" t="inlineStr"/>
    </row>
    <row r="45">
      <c r="A45" s="15" t="n">
        <v>44</v>
      </c>
      <c r="B45" s="15" t="inlineStr">
        <is>
          <t>Sprint 3</t>
        </is>
      </c>
      <c r="C45" s="15" t="inlineStr">
        <is>
          <t>BE</t>
        </is>
      </c>
      <c r="D45" s="16" t="inlineStr">
        <is>
          <t>Integrasi Xendit -- QRIS, Virtual Account, e-wallet</t>
        </is>
      </c>
      <c r="E45" s="15" t="inlineStr">
        <is>
          <t>REQ-F-402</t>
        </is>
      </c>
      <c r="F45" s="13" t="inlineStr">
        <is>
          <t>Must</t>
        </is>
      </c>
      <c r="G45" s="19" t="inlineStr">
        <is>
          <t>Belum Mulai</t>
        </is>
      </c>
      <c r="H45" s="15" t="inlineStr"/>
      <c r="I45" s="15" t="n">
        <v>4</v>
      </c>
      <c r="J45" s="16" t="inlineStr"/>
    </row>
    <row r="46">
      <c r="A46" s="11" t="n">
        <v>45</v>
      </c>
      <c r="B46" s="11" t="inlineStr">
        <is>
          <t>Sprint 3</t>
        </is>
      </c>
      <c r="C46" s="11" t="inlineStr">
        <is>
          <t>BE</t>
        </is>
      </c>
      <c r="D46" s="12" t="inlineStr">
        <is>
          <t>Webhook PSP + verifikasi signature</t>
        </is>
      </c>
      <c r="E46" s="11" t="inlineStr">
        <is>
          <t>REQ-F-403, NF-05</t>
        </is>
      </c>
      <c r="F46" s="13" t="inlineStr">
        <is>
          <t>Must</t>
        </is>
      </c>
      <c r="G46" s="19" t="inlineStr">
        <is>
          <t>Belum Mulai</t>
        </is>
      </c>
      <c r="H46" s="11" t="inlineStr"/>
      <c r="I46" s="11" t="n">
        <v>2</v>
      </c>
      <c r="J46" s="12" t="inlineStr">
        <is>
          <t>Satu-satunya sumber kebenaran status bayar</t>
        </is>
      </c>
    </row>
    <row r="47">
      <c r="A47" s="15" t="n">
        <v>46</v>
      </c>
      <c r="B47" s="15" t="inlineStr">
        <is>
          <t>Sprint 3</t>
        </is>
      </c>
      <c r="C47" s="15" t="inlineStr">
        <is>
          <t>BE</t>
        </is>
      </c>
      <c r="D47" s="16" t="inlineStr">
        <is>
          <t>Idempotensi webhook (tidak diproses dua kali)</t>
        </is>
      </c>
      <c r="E47" s="15" t="inlineStr">
        <is>
          <t>REQ-F-404</t>
        </is>
      </c>
      <c r="F47" s="13" t="inlineStr">
        <is>
          <t>Must</t>
        </is>
      </c>
      <c r="G47" s="19" t="inlineStr">
        <is>
          <t>Belum Mulai</t>
        </is>
      </c>
      <c r="H47" s="15" t="inlineStr"/>
      <c r="I47" s="15" t="n">
        <v>1</v>
      </c>
      <c r="J47" s="16" t="inlineStr"/>
    </row>
    <row r="48">
      <c r="A48" s="11" t="n">
        <v>47</v>
      </c>
      <c r="B48" s="11" t="inlineStr">
        <is>
          <t>Sprint 3</t>
        </is>
      </c>
      <c r="C48" s="11" t="inlineStr">
        <is>
          <t>BE</t>
        </is>
      </c>
      <c r="D48" s="12" t="inlineStr">
        <is>
          <t>Notifikasi otomatis email/WhatsApp + link unduhan</t>
        </is>
      </c>
      <c r="E48" s="11" t="inlineStr">
        <is>
          <t>REQ-F-405</t>
        </is>
      </c>
      <c r="F48" s="13" t="inlineStr">
        <is>
          <t>Must</t>
        </is>
      </c>
      <c r="G48" s="19" t="inlineStr">
        <is>
          <t>Belum Mulai</t>
        </is>
      </c>
      <c r="H48" s="11" t="inlineStr"/>
      <c r="I48" s="11" t="n">
        <v>2</v>
      </c>
      <c r="J48" s="12" t="inlineStr">
        <is>
          <t>Pakai worker dari Sprint 2</t>
        </is>
      </c>
    </row>
    <row r="49">
      <c r="A49" s="15" t="n">
        <v>48</v>
      </c>
      <c r="B49" s="15" t="inlineStr">
        <is>
          <t>Sprint 3</t>
        </is>
      </c>
      <c r="C49" s="15" t="inlineStr">
        <is>
          <t>BE+FE</t>
        </is>
      </c>
      <c r="D49" s="16" t="inlineStr">
        <is>
          <t>Pesan gagal bayar yang jelas ke pembeli</t>
        </is>
      </c>
      <c r="E49" s="15" t="inlineStr">
        <is>
          <t>REQ-F-406</t>
        </is>
      </c>
      <c r="F49" s="17" t="inlineStr">
        <is>
          <t>Should</t>
        </is>
      </c>
      <c r="G49" s="19" t="inlineStr">
        <is>
          <t>Belum Mulai</t>
        </is>
      </c>
      <c r="H49" s="15" t="inlineStr"/>
      <c r="I49" s="15" t="n">
        <v>1</v>
      </c>
      <c r="J49" s="16" t="inlineStr"/>
    </row>
    <row r="50">
      <c r="A50" s="11" t="n">
        <v>49</v>
      </c>
      <c r="B50" s="11" t="inlineStr">
        <is>
          <t>Sprint 4</t>
        </is>
      </c>
      <c r="C50" s="11" t="inlineStr">
        <is>
          <t>BE</t>
        </is>
      </c>
      <c r="D50" s="12" t="inlineStr">
        <is>
          <t>Kalkulasi saldo kreator dari ledger_entries (append-only)</t>
        </is>
      </c>
      <c r="E50" s="11" t="inlineStr">
        <is>
          <t>REQ-F-501</t>
        </is>
      </c>
      <c r="F50" s="13" t="inlineStr">
        <is>
          <t>Must</t>
        </is>
      </c>
      <c r="G50" s="19" t="inlineStr">
        <is>
          <t>Belum Mulai</t>
        </is>
      </c>
      <c r="H50" s="11" t="inlineStr"/>
      <c r="I50" s="11" t="n">
        <v>2</v>
      </c>
      <c r="J50" s="12" t="inlineStr">
        <is>
          <t>Tabel skema sudah ada</t>
        </is>
      </c>
    </row>
    <row r="51">
      <c r="A51" s="15" t="n">
        <v>50</v>
      </c>
      <c r="B51" s="15" t="inlineStr">
        <is>
          <t>Sprint 4</t>
        </is>
      </c>
      <c r="C51" s="15" t="inlineStr">
        <is>
          <t>BE</t>
        </is>
      </c>
      <c r="D51" s="16" t="inlineStr">
        <is>
          <t>Pisahkan saldo tertahan vs tersedia + holding period anti-fraud</t>
        </is>
      </c>
      <c r="E51" s="15" t="inlineStr">
        <is>
          <t>REQ-F-502</t>
        </is>
      </c>
      <c r="F51" s="13" t="inlineStr">
        <is>
          <t>Must</t>
        </is>
      </c>
      <c r="G51" s="19" t="inlineStr">
        <is>
          <t>Belum Mulai</t>
        </is>
      </c>
      <c r="H51" s="15" t="inlineStr"/>
      <c r="I51" s="15" t="n">
        <v>2</v>
      </c>
      <c r="J51" s="16" t="inlineStr"/>
    </row>
    <row r="52">
      <c r="A52" s="11" t="n">
        <v>51</v>
      </c>
      <c r="B52" s="11" t="inlineStr">
        <is>
          <t>Sprint 4</t>
        </is>
      </c>
      <c r="C52" s="11" t="inlineStr">
        <is>
          <t>BE+FE</t>
        </is>
      </c>
      <c r="D52" s="12" t="inlineStr">
        <is>
          <t>Pengajuan penarikan dana ke rekening/e-wallet terverifikasi</t>
        </is>
      </c>
      <c r="E52" s="11" t="inlineStr">
        <is>
          <t>REQ-F-503</t>
        </is>
      </c>
      <c r="F52" s="13" t="inlineStr">
        <is>
          <t>Must</t>
        </is>
      </c>
      <c r="G52" s="19" t="inlineStr">
        <is>
          <t>Belum Mulai</t>
        </is>
      </c>
      <c r="H52" s="11" t="inlineStr"/>
      <c r="I52" s="11" t="n">
        <v>3</v>
      </c>
      <c r="J52" s="12" t="inlineStr"/>
    </row>
    <row r="53">
      <c r="A53" s="15" t="n">
        <v>52</v>
      </c>
      <c r="B53" s="15" t="inlineStr">
        <is>
          <t>Sprint 4</t>
        </is>
      </c>
      <c r="C53" s="15" t="inlineStr">
        <is>
          <t>BE+FE</t>
        </is>
      </c>
      <c r="D53" s="16" t="inlineStr">
        <is>
          <t>Status penarikan real-time (diajukan/diproses/berhasil/gagal)</t>
        </is>
      </c>
      <c r="E53" s="15" t="inlineStr">
        <is>
          <t>REQ-F-504</t>
        </is>
      </c>
      <c r="F53" s="13" t="inlineStr">
        <is>
          <t>Must</t>
        </is>
      </c>
      <c r="G53" s="19" t="inlineStr">
        <is>
          <t>Belum Mulai</t>
        </is>
      </c>
      <c r="H53" s="15" t="inlineStr"/>
      <c r="I53" s="15" t="n">
        <v>1</v>
      </c>
      <c r="J53" s="16" t="inlineStr"/>
    </row>
    <row r="54">
      <c r="A54" s="11" t="n">
        <v>53</v>
      </c>
      <c r="B54" s="11" t="inlineStr">
        <is>
          <t>Sprint 4</t>
        </is>
      </c>
      <c r="C54" s="11" t="inlineStr">
        <is>
          <t>BE</t>
        </is>
      </c>
      <c r="D54" s="12" t="inlineStr">
        <is>
          <t>Rekonsiliasi disbursement lintas kreator untuk admin</t>
        </is>
      </c>
      <c r="E54" s="11" t="inlineStr">
        <is>
          <t>REQ-F-505</t>
        </is>
      </c>
      <c r="F54" s="17" t="inlineStr">
        <is>
          <t>Should</t>
        </is>
      </c>
      <c r="G54" s="19" t="inlineStr">
        <is>
          <t>Belum Mulai</t>
        </is>
      </c>
      <c r="H54" s="11" t="inlineStr"/>
      <c r="I54" s="11" t="n">
        <v>2</v>
      </c>
      <c r="J54" s="12" t="inlineStr"/>
    </row>
    <row r="55">
      <c r="A55" s="15" t="n">
        <v>54</v>
      </c>
      <c r="B55" s="15" t="inlineStr">
        <is>
          <t>Sprint 4</t>
        </is>
      </c>
      <c r="C55" s="15" t="inlineStr">
        <is>
          <t>CI/CD</t>
        </is>
      </c>
      <c r="D55" s="16" t="inlineStr">
        <is>
          <t>Otomasi rollback lewat workflow_dispatch input (lanjutan L2)</t>
        </is>
      </c>
      <c r="E55" s="15" t="inlineStr">
        <is>
          <t>L2</t>
        </is>
      </c>
      <c r="F55" s="18" t="inlineStr">
        <is>
          <t>Could</t>
        </is>
      </c>
      <c r="G55" s="19" t="inlineStr">
        <is>
          <t>Belum Mulai</t>
        </is>
      </c>
      <c r="H55" s="15" t="inlineStr"/>
      <c r="I55" s="15" t="n">
        <v>1</v>
      </c>
      <c r="J55" s="16" t="inlineStr"/>
    </row>
    <row r="56">
      <c r="A56" s="11" t="n">
        <v>55</v>
      </c>
      <c r="B56" s="11" t="inlineStr">
        <is>
          <t>Sprint 5</t>
        </is>
      </c>
      <c r="C56" s="11" t="inlineStr">
        <is>
          <t>BE</t>
        </is>
      </c>
      <c r="D56" s="12" t="inlineStr">
        <is>
          <t>Pencatatan klik per tautan &amp; kunjungan halaman</t>
        </is>
      </c>
      <c r="E56" s="11" t="inlineStr">
        <is>
          <t>REQ-F-601</t>
        </is>
      </c>
      <c r="F56" s="13" t="inlineStr">
        <is>
          <t>Must</t>
        </is>
      </c>
      <c r="G56" s="19" t="inlineStr">
        <is>
          <t>Belum Mulai</t>
        </is>
      </c>
      <c r="H56" s="11" t="inlineStr"/>
      <c r="I56" s="11" t="n">
        <v>1.5</v>
      </c>
      <c r="J56" s="12" t="inlineStr"/>
    </row>
    <row r="57">
      <c r="A57" s="15" t="n">
        <v>56</v>
      </c>
      <c r="B57" s="15" t="inlineStr">
        <is>
          <t>Sprint 5</t>
        </is>
      </c>
      <c r="C57" s="15" t="inlineStr">
        <is>
          <t>BE+FE</t>
        </is>
      </c>
      <c r="D57" s="16" t="inlineStr">
        <is>
          <t>Grafik tren kunjungan &amp; penjualan per rentang waktu</t>
        </is>
      </c>
      <c r="E57" s="15" t="inlineStr">
        <is>
          <t>REQ-F-602</t>
        </is>
      </c>
      <c r="F57" s="17" t="inlineStr">
        <is>
          <t>Should</t>
        </is>
      </c>
      <c r="G57" s="19" t="inlineStr">
        <is>
          <t>Belum Mulai</t>
        </is>
      </c>
      <c r="H57" s="15" t="inlineStr"/>
      <c r="I57" s="15" t="n">
        <v>2</v>
      </c>
      <c r="J57" s="16" t="inlineStr"/>
    </row>
    <row r="58">
      <c r="A58" s="11" t="n">
        <v>57</v>
      </c>
      <c r="B58" s="11" t="inlineStr">
        <is>
          <t>Sprint 5</t>
        </is>
      </c>
      <c r="C58" s="11" t="inlineStr">
        <is>
          <t>BE+FE</t>
        </is>
      </c>
      <c r="D58" s="12" t="inlineStr">
        <is>
          <t>Produk terlaris &amp; sumber trafik (referrer) utama</t>
        </is>
      </c>
      <c r="E58" s="11" t="inlineStr">
        <is>
          <t>REQ-F-603</t>
        </is>
      </c>
      <c r="F58" s="17" t="inlineStr">
        <is>
          <t>Should</t>
        </is>
      </c>
      <c r="G58" s="19" t="inlineStr">
        <is>
          <t>Belum Mulai</t>
        </is>
      </c>
      <c r="H58" s="11" t="inlineStr"/>
      <c r="I58" s="11" t="n">
        <v>1.5</v>
      </c>
      <c r="J58" s="12" t="inlineStr"/>
    </row>
    <row r="59">
      <c r="A59" s="15" t="n">
        <v>58</v>
      </c>
      <c r="B59" s="15" t="inlineStr">
        <is>
          <t>Sprint 5</t>
        </is>
      </c>
      <c r="C59" s="15" t="inlineStr">
        <is>
          <t>BE</t>
        </is>
      </c>
      <c r="D59" s="16" t="inlineStr">
        <is>
          <t>Rate limiting API</t>
        </is>
      </c>
      <c r="E59" s="15" t="inlineStr">
        <is>
          <t>NF-05</t>
        </is>
      </c>
      <c r="F59" s="13" t="inlineStr">
        <is>
          <t>Must</t>
        </is>
      </c>
      <c r="G59" s="19" t="inlineStr">
        <is>
          <t>Belum Mulai</t>
        </is>
      </c>
      <c r="H59" s="15" t="inlineStr"/>
      <c r="I59" s="15" t="n">
        <v>1</v>
      </c>
      <c r="J59" s="16" t="inlineStr"/>
    </row>
    <row r="60">
      <c r="A60" s="11" t="n">
        <v>59</v>
      </c>
      <c r="B60" s="11" t="inlineStr">
        <is>
          <t>Sprint 5</t>
        </is>
      </c>
      <c r="C60" s="11" t="inlineStr">
        <is>
          <t>BE</t>
        </is>
      </c>
      <c r="D60" s="12" t="inlineStr">
        <is>
          <t>Log audit untuk setiap perubahan saldo &amp; status transaksi</t>
        </is>
      </c>
      <c r="E60" s="11" t="inlineStr">
        <is>
          <t>NF-10</t>
        </is>
      </c>
      <c r="F60" s="13" t="inlineStr">
        <is>
          <t>Must</t>
        </is>
      </c>
      <c r="G60" s="19" t="inlineStr">
        <is>
          <t>Belum Mulai</t>
        </is>
      </c>
      <c r="H60" s="11" t="inlineStr"/>
      <c r="I60" s="11" t="n">
        <v>1.5</v>
      </c>
      <c r="J60" s="12" t="inlineStr"/>
    </row>
    <row r="61">
      <c r="A61" s="15" t="n">
        <v>60</v>
      </c>
      <c r="B61" s="15" t="inlineStr">
        <is>
          <t>Sprint 5</t>
        </is>
      </c>
      <c r="C61" s="15" t="inlineStr">
        <is>
          <t>BE+Legal</t>
        </is>
      </c>
      <c r="D61" s="16" t="inlineStr">
        <is>
          <t>Mekanisme consent &amp; hapus data sesuai UU PDP</t>
        </is>
      </c>
      <c r="E61" s="15" t="inlineStr">
        <is>
          <t>NF-09</t>
        </is>
      </c>
      <c r="F61" s="13" t="inlineStr">
        <is>
          <t>Must</t>
        </is>
      </c>
      <c r="G61" s="19" t="inlineStr">
        <is>
          <t>Belum Mulai</t>
        </is>
      </c>
      <c r="H61" s="15" t="inlineStr"/>
      <c r="I61" s="15" t="n">
        <v>2</v>
      </c>
      <c r="J61" s="16" t="inlineStr"/>
    </row>
    <row r="62">
      <c r="A62" s="11" t="n">
        <v>61</v>
      </c>
      <c r="B62" s="11" t="inlineStr">
        <is>
          <t>Sprint 5</t>
        </is>
      </c>
      <c r="C62" s="11" t="inlineStr">
        <is>
          <t>BE</t>
        </is>
      </c>
      <c r="D62" s="12" t="inlineStr">
        <is>
          <t>Tambah golangci-lint (lanjutan L3)</t>
        </is>
      </c>
      <c r="E62" s="11" t="inlineStr">
        <is>
          <t>L3</t>
        </is>
      </c>
      <c r="F62" s="18" t="inlineStr">
        <is>
          <t>Could</t>
        </is>
      </c>
      <c r="G62" s="19" t="inlineStr">
        <is>
          <t>Belum Mulai</t>
        </is>
      </c>
      <c r="H62" s="11" t="inlineStr"/>
      <c r="I62" s="11" t="n">
        <v>0.5</v>
      </c>
      <c r="J62" s="12" t="inlineStr"/>
    </row>
    <row r="63">
      <c r="A63" s="15" t="n">
        <v>62</v>
      </c>
      <c r="B63" s="15" t="inlineStr">
        <is>
          <t>Sprint 5</t>
        </is>
      </c>
      <c r="C63" s="15" t="inlineStr">
        <is>
          <t>QA</t>
        </is>
      </c>
      <c r="D63" s="16" t="inlineStr">
        <is>
          <t>Smoke test transaksi dengan uang sungguhan (nominal kecil)</t>
        </is>
      </c>
      <c r="E63" s="15" t="inlineStr">
        <is>
          <t>-</t>
        </is>
      </c>
      <c r="F63" s="13" t="inlineStr">
        <is>
          <t>Must</t>
        </is>
      </c>
      <c r="G63" s="19" t="inlineStr">
        <is>
          <t>Belum Mulai</t>
        </is>
      </c>
      <c r="H63" s="15" t="inlineStr"/>
      <c r="I63" s="15" t="n">
        <v>0.5</v>
      </c>
      <c r="J63" s="16" t="inlineStr">
        <is>
          <t>Wajib sebelum go-live publik</t>
        </is>
      </c>
    </row>
    <row r="64">
      <c r="A64" s="11" t="n">
        <v>63</v>
      </c>
      <c r="B64" s="11" t="inlineStr">
        <is>
          <t>Sprint 5</t>
        </is>
      </c>
      <c r="C64" s="11" t="inlineStr">
        <is>
          <t>Ops</t>
        </is>
      </c>
      <c r="D64" s="12" t="inlineStr">
        <is>
          <t>Jalankan penuh checklist go-live CICD-GUIDE §12</t>
        </is>
      </c>
      <c r="E64" s="11" t="inlineStr">
        <is>
          <t>-</t>
        </is>
      </c>
      <c r="F64" s="13" t="inlineStr">
        <is>
          <t>Must</t>
        </is>
      </c>
      <c r="G64" s="19" t="inlineStr">
        <is>
          <t>Belum Mulai</t>
        </is>
      </c>
      <c r="H64" s="11" t="inlineStr"/>
      <c r="I64" s="11" t="n">
        <v>1</v>
      </c>
      <c r="J64" s="12" t="inlineStr"/>
    </row>
    <row r="65">
      <c r="A65" s="15" t="n">
        <v>64</v>
      </c>
      <c r="B65" s="15" t="inlineStr">
        <is>
          <t>Sprint 6</t>
        </is>
      </c>
      <c r="C65" s="15" t="inlineStr">
        <is>
          <t>BE+FE</t>
        </is>
      </c>
      <c r="D65" s="16" t="inlineStr">
        <is>
          <t>Manajemen user admin (lihat, suspend/aktifkan akun kreator)</t>
        </is>
      </c>
      <c r="E65" s="15" t="inlineStr">
        <is>
          <t>REQ-F-701</t>
        </is>
      </c>
      <c r="F65" s="13" t="inlineStr">
        <is>
          <t>Must</t>
        </is>
      </c>
      <c r="G65" s="19" t="inlineStr">
        <is>
          <t>Belum Mulai</t>
        </is>
      </c>
      <c r="H65" s="15" t="n"/>
      <c r="I65" s="15" t="n">
        <v>2</v>
      </c>
      <c r="J65" s="16" t="inlineStr">
        <is>
          <t>Butuh endpoint &amp; guard role=admin</t>
        </is>
      </c>
    </row>
    <row r="66">
      <c r="A66" s="15" t="n">
        <v>65</v>
      </c>
      <c r="B66" s="15" t="inlineStr">
        <is>
          <t>Sprint 6</t>
        </is>
      </c>
      <c r="C66" s="15" t="inlineStr">
        <is>
          <t>BE+FE</t>
        </is>
      </c>
      <c r="D66" s="16" t="inlineStr">
        <is>
          <t>Moderasi konten (tinjau &amp; takedown halaman/produk yang dilaporkan)</t>
        </is>
      </c>
      <c r="E66" s="15" t="inlineStr">
        <is>
          <t>REQ-F-702</t>
        </is>
      </c>
      <c r="F66" s="13" t="inlineStr">
        <is>
          <t>Must</t>
        </is>
      </c>
      <c r="G66" s="19" t="inlineStr">
        <is>
          <t>Belum Mulai</t>
        </is>
      </c>
      <c r="H66" s="15" t="n"/>
      <c r="I66" s="15" t="n">
        <v>2</v>
      </c>
      <c r="J66" s="16" t="n"/>
    </row>
    <row r="67">
      <c r="A67" s="15" t="n">
        <v>66</v>
      </c>
      <c r="B67" s="15" t="inlineStr">
        <is>
          <t>Sprint 6</t>
        </is>
      </c>
      <c r="C67" s="15" t="inlineStr">
        <is>
          <t>BE+FE</t>
        </is>
      </c>
      <c r="D67" s="16" t="inlineStr">
        <is>
          <t>Dashboard admin (ringkasan user, transaksi, laporan)</t>
        </is>
      </c>
      <c r="E67" s="15" t="inlineStr">
        <is>
          <t>REQ-F-703</t>
        </is>
      </c>
      <c r="F67" s="13" t="inlineStr">
        <is>
          <t>Should</t>
        </is>
      </c>
      <c r="G67" s="19" t="inlineStr">
        <is>
          <t>Belum Mulai</t>
        </is>
      </c>
      <c r="H67" s="15" t="n"/>
      <c r="I67" s="15" t="n">
        <v>2</v>
      </c>
      <c r="J67" s="16" t="inlineStr">
        <is>
          <t>Sebelumnya tidak ada task-nya sama sekali di backlog -- ditambahkan setelah audit cakupan SRS</t>
        </is>
      </c>
    </row>
  </sheetData>
  <autoFilter ref="A1:J64"/>
  <conditionalFormatting sqref="G2:G64">
    <cfRule type="cellIs" priority="1" operator="equal" dxfId="0">
      <formula>"Selesai"</formula>
    </cfRule>
    <cfRule type="cellIs" priority="2" operator="equal" dxfId="1">
      <formula>"Dikerjakan"</formula>
    </cfRule>
    <cfRule type="cellIs" priority="3" operator="equal" dxfId="2">
      <formula>"Belum Mulai"</formula>
    </cfRule>
    <cfRule type="cellIs" priority="4" operator="equal" dxfId="3">
      <formula>"Blocked"</formula>
    </cfRule>
  </conditionalFormatting>
  <dataValidations count="2">
    <dataValidation sqref="G2:G64" showDropDown="0" showInputMessage="0" showErrorMessage="0" allowBlank="1" error="Pilih dari daftar: Belum Mulai, Dikerjakan, Review, Selesai, Blocked" type="list">
      <formula1>"Belum Mulai,Dikerjakan,Review,Selesai,Blocked"</formula1>
    </dataValidation>
    <dataValidation sqref="F2:F64" showDropDown="0" showInputMessage="0" showErrorMessage="0" allowBlank="1" type="list">
      <formula1>"Must,Should,Could"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2026-07-04T06:17:12Z</dcterms:created>
  <dcterms:modified xmlns:dcterms="http://purl.org/dc/terms/" xmlns:xsi="http://www.w3.org/2001/XMLSchema-instance" xsi:type="dcterms:W3CDTF">2026-07-14T01:27:01Z</dcterms:modified>
</cp:coreProperties>
</file>